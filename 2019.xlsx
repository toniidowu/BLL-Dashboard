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06BB2D4F-98B8-4CA0-B776-51EE6230969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" i="2"/>
  <c r="G2" i="2"/>
  <c r="G2" i="4"/>
</calcChain>
</file>

<file path=xl/sharedStrings.xml><?xml version="1.0" encoding="utf-8"?>
<sst xmlns="http://schemas.openxmlformats.org/spreadsheetml/2006/main" count="393" uniqueCount="373">
  <si>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</si>
  <si>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</si>
  <si>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</si>
  <si>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</si>
  <si>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</si>
  <si>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</si>
  <si>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</si>
  <si>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</si>
  <si>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</si>
  <si>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</si>
  <si>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</si>
  <si>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</si>
  <si>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</si>
  <si>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</si>
  <si>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</si>
  <si>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</si>
  <si>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</si>
  <si>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</si>
  <si>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</si>
  <si>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</si>
  <si>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</si>
  <si>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</si>
  <si>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</si>
  <si>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</si>
  <si>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</si>
  <si>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</si>
  <si>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</si>
  <si>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</si>
  <si>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</si>
  <si>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</si>
  <si>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</si>
  <si>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</si>
  <si>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</si>
  <si>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</si>
  <si>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</si>
  <si>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</si>
  <si>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</si>
  <si>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</si>
  <si>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</si>
  <si>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</si>
  <si>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</si>
  <si>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</si>
  <si>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</si>
  <si>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</si>
  <si>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</si>
  <si>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</si>
  <si>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</si>
  <si>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</si>
  <si>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</si>
  <si>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</si>
  <si>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</si>
  <si>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</si>
  <si>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</si>
  <si>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</si>
  <si>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</si>
  <si>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</si>
  <si>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</si>
  <si>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</si>
  <si>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</si>
  <si>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</si>
  <si>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</si>
  <si>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</si>
  <si>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</si>
  <si>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</si>
  <si>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</si>
  <si>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</si>
  <si>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</si>
  <si>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</si>
  <si>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</si>
  <si>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</si>
  <si>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</si>
  <si>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</si>
  <si>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</si>
  <si>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</si>
  <si>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</si>
  <si>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</si>
  <si>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</si>
  <si>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</si>
  <si>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</si>
  <si>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</si>
  <si>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</si>
  <si>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</si>
  <si>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</si>
  <si>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</si>
  <si>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</si>
  <si>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</si>
  <si>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</si>
  <si>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</si>
  <si>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</si>
  <si>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</si>
  <si>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</si>
  <si>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</si>
  <si>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</si>
  <si>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</si>
  <si>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</si>
  <si>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</si>
  <si>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</si>
  <si>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</si>
  <si>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</si>
  <si>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</si>
  <si>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</si>
  <si>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</si>
  <si>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</si>
  <si>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</si>
  <si>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</si>
  <si>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</si>
  <si>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</si>
  <si>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</si>
  <si>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</si>
  <si>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</si>
  <si>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</si>
  <si>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</si>
  <si>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</si>
  <si>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</si>
  <si>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</si>
  <si>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</si>
  <si>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</si>
  <si>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</si>
  <si>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</si>
  <si>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</si>
  <si>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</si>
  <si>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</si>
  <si>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</si>
  <si>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</si>
  <si>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</si>
  <si>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</si>
  <si>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</si>
  <si>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</si>
  <si>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</si>
  <si>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</si>
  <si>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</si>
  <si>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</si>
  <si>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</si>
  <si>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</si>
  <si>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</si>
  <si>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</si>
  <si>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</si>
  <si>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</si>
  <si>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</si>
  <si>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</si>
  <si>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</si>
  <si>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</si>
  <si>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</si>
  <si>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</si>
  <si>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</si>
  <si>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</si>
  <si>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</si>
  <si>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</si>
  <si>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</si>
  <si>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</si>
  <si>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</si>
  <si>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</si>
  <si>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</si>
  <si>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</si>
  <si>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</si>
  <si>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</si>
  <si>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</si>
  <si>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</si>
  <si>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</si>
  <si>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</si>
  <si>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</si>
  <si>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</si>
  <si>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</si>
  <si>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</si>
  <si>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</si>
  <si>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</si>
  <si>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</si>
  <si>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</si>
  <si>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</si>
  <si>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</si>
  <si>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</si>
  <si>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</si>
  <si>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</si>
  <si>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</si>
  <si>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</si>
  <si>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</si>
  <si>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</si>
  <si>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</si>
  <si>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</si>
  <si>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</si>
  <si>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</si>
  <si>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</si>
  <si>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</si>
  <si>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</si>
  <si>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</si>
  <si>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</si>
  <si>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</si>
  <si>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</si>
  <si>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</si>
  <si>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</si>
  <si>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</si>
  <si>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</si>
  <si>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</si>
  <si>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</si>
  <si>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</si>
  <si>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</si>
  <si>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</si>
  <si>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</si>
  <si>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</si>
  <si>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</si>
  <si>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</si>
  <si>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</si>
  <si>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</si>
  <si>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</si>
  <si>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2019</t>
  </si>
  <si>
    <t>Counties</t>
  </si>
  <si>
    <t>PercChildren_Blood5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</si>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</sst>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0" fontId="1" fillId="2" borderId="10" xfId="0" applyFont="1" applyFill="1" applyBorder="1" applyAlignment="1">
      <alignment horizontal="left" vertical="top" wrapText="1"/>
    </xf>
    <xf numFmtId="164" fontId="2" fillId="2" borderId="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 indent="2"/>
    </xf>
    <xf numFmtId="164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H2" sqref="H2:H41"/>
    </sheetView>
  </sheetViews>
  <sheetFormatPr defaultRowHeight="13" x14ac:dyDescent="0.3"/>
  <cols>
    <col min="1" max="1" width="16.69921875" customWidth="1"/>
    <col min="2" max="2" width="22.59765625" customWidth="1"/>
    <col min="3" max="4" width="12.3984375" customWidth="1"/>
    <col min="5" max="5" width="14.69921875" customWidth="1"/>
    <col min="6" max="6" width="16.69921875" customWidth="1"/>
    <col min="7" max="7" width="22.09765625" customWidth="1"/>
    <col min="8" max="9" width="12.3984375" customWidth="1"/>
    <col min="10" max="10" width="14.69921875" customWidth="1"/>
  </cols>
  <sheetData>
    <row r="1" spans="1:10" ht="35.75" customHeight="1" x14ac:dyDescent="0.3">
      <c r="A1" s="33" t="s">
        <v>205</v>
      </c>
      <c r="B1" s="33" t="s">
        <v>206</v>
      </c>
      <c r="C1" s="1" t="s">
        <v>0</v>
      </c>
      <c r="D1" s="2" t="s">
        <v>1</v>
      </c>
      <c r="E1" s="2" t="s">
        <v>2</v>
      </c>
      <c r="F1" s="33" t="s">
        <v>205</v>
      </c>
      <c r="G1" s="33" t="s">
        <v>206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3</v>
      </c>
      <c r="B2" s="31">
        <f>(D2+E2)/C2</f>
        <v>2.7131782945736434E-2</v>
      </c>
      <c r="C2" s="4">
        <v>258</v>
      </c>
      <c r="D2" s="5">
        <v>6</v>
      </c>
      <c r="E2" s="6">
        <v>1</v>
      </c>
      <c r="F2" s="3" t="s">
        <v>4</v>
      </c>
      <c r="G2" s="31">
        <f>(I2+J2)/H2</f>
        <v>0</v>
      </c>
      <c r="H2" s="4">
        <v>93</v>
      </c>
      <c r="I2" s="5">
        <v>0</v>
      </c>
      <c r="J2" s="6">
        <v>0</v>
      </c>
    </row>
    <row r="3" spans="1:10" ht="14.25" customHeight="1" x14ac:dyDescent="0.3">
      <c r="A3" s="7" t="s">
        <v>5</v>
      </c>
      <c r="B3" s="31">
        <f t="shared" ref="B3:B41" si="0">(D3+E3)/C3</f>
        <v>4.6979865771812082E-2</v>
      </c>
      <c r="C3" s="8">
        <v>149</v>
      </c>
      <c r="D3" s="9">
        <v>5</v>
      </c>
      <c r="E3" s="10">
        <v>2</v>
      </c>
      <c r="F3" s="7" t="s">
        <v>6</v>
      </c>
      <c r="G3" s="31">
        <f t="shared" ref="G3:G41" si="1">(I3+J3)/H3</f>
        <v>1.3192612137203167E-2</v>
      </c>
      <c r="H3" s="8">
        <v>379</v>
      </c>
      <c r="I3" s="9">
        <v>4</v>
      </c>
      <c r="J3" s="10">
        <v>1</v>
      </c>
    </row>
    <row r="4" spans="1:10" ht="14.25" customHeight="1" x14ac:dyDescent="0.3">
      <c r="A4" s="7" t="s">
        <v>7</v>
      </c>
      <c r="B4" s="31">
        <f t="shared" si="0"/>
        <v>1.4084507042253521E-2</v>
      </c>
      <c r="C4" s="8">
        <v>71</v>
      </c>
      <c r="D4" s="9">
        <v>1</v>
      </c>
      <c r="E4" s="10">
        <v>0</v>
      </c>
      <c r="F4" s="7" t="s">
        <v>8</v>
      </c>
      <c r="G4" s="31">
        <f t="shared" si="1"/>
        <v>1.7482517482517484E-2</v>
      </c>
      <c r="H4" s="8">
        <v>286</v>
      </c>
      <c r="I4" s="9">
        <v>5</v>
      </c>
      <c r="J4" s="10">
        <v>0</v>
      </c>
    </row>
    <row r="5" spans="1:10" ht="14.25" customHeight="1" x14ac:dyDescent="0.3">
      <c r="A5" s="7" t="s">
        <v>9</v>
      </c>
      <c r="B5" s="31">
        <f t="shared" si="0"/>
        <v>0.06</v>
      </c>
      <c r="C5" s="8">
        <v>50</v>
      </c>
      <c r="D5" s="9">
        <v>2</v>
      </c>
      <c r="E5" s="10">
        <v>1</v>
      </c>
      <c r="F5" s="7" t="s">
        <v>10</v>
      </c>
      <c r="G5" s="31">
        <f t="shared" si="1"/>
        <v>1.4983644613274243E-2</v>
      </c>
      <c r="H5" s="11">
        <v>9477</v>
      </c>
      <c r="I5" s="9">
        <v>109</v>
      </c>
      <c r="J5" s="10">
        <v>33</v>
      </c>
    </row>
    <row r="6" spans="1:10" ht="14.25" customHeight="1" x14ac:dyDescent="0.3">
      <c r="A6" s="7" t="s">
        <v>11</v>
      </c>
      <c r="B6" s="31">
        <f t="shared" si="0"/>
        <v>1.4999999999999999E-2</v>
      </c>
      <c r="C6" s="8">
        <v>600</v>
      </c>
      <c r="D6" s="9">
        <v>7</v>
      </c>
      <c r="E6" s="10">
        <v>2</v>
      </c>
      <c r="F6" s="7" t="s">
        <v>12</v>
      </c>
      <c r="G6" s="31">
        <f t="shared" si="1"/>
        <v>2.6865671641791045E-2</v>
      </c>
      <c r="H6" s="8">
        <v>335</v>
      </c>
      <c r="I6" s="9">
        <v>6</v>
      </c>
      <c r="J6" s="10">
        <v>3</v>
      </c>
    </row>
    <row r="7" spans="1:10" ht="14.25" customHeight="1" x14ac:dyDescent="0.3">
      <c r="A7" s="7" t="s">
        <v>13</v>
      </c>
      <c r="B7" s="31">
        <f t="shared" si="0"/>
        <v>1.0256410256410256E-2</v>
      </c>
      <c r="C7" s="8">
        <v>585</v>
      </c>
      <c r="D7" s="9">
        <v>4</v>
      </c>
      <c r="E7" s="10">
        <v>2</v>
      </c>
      <c r="F7" s="7" t="s">
        <v>14</v>
      </c>
      <c r="G7" s="31">
        <f t="shared" si="1"/>
        <v>6.3157894736842107E-2</v>
      </c>
      <c r="H7" s="8">
        <v>95</v>
      </c>
      <c r="I7" s="9">
        <v>3</v>
      </c>
      <c r="J7" s="10">
        <v>3</v>
      </c>
    </row>
    <row r="8" spans="1:10" ht="14.25" customHeight="1" x14ac:dyDescent="0.3">
      <c r="A8" s="7" t="s">
        <v>15</v>
      </c>
      <c r="B8" s="31">
        <f t="shared" si="0"/>
        <v>1.0770505385252692E-2</v>
      </c>
      <c r="C8" s="11">
        <v>1207</v>
      </c>
      <c r="D8" s="9">
        <v>11</v>
      </c>
      <c r="E8" s="10">
        <v>2</v>
      </c>
      <c r="F8" s="7" t="s">
        <v>16</v>
      </c>
      <c r="G8" s="31">
        <f t="shared" si="1"/>
        <v>2.6666666666666668E-2</v>
      </c>
      <c r="H8" s="11">
        <v>1200</v>
      </c>
      <c r="I8" s="9">
        <v>28</v>
      </c>
      <c r="J8" s="10">
        <v>4</v>
      </c>
    </row>
    <row r="9" spans="1:10" ht="14.25" customHeight="1" x14ac:dyDescent="0.3">
      <c r="A9" s="7" t="s">
        <v>17</v>
      </c>
      <c r="B9" s="31">
        <f t="shared" si="0"/>
        <v>1.2151536812008578E-2</v>
      </c>
      <c r="C9" s="11">
        <v>1399</v>
      </c>
      <c r="D9" s="9">
        <v>11</v>
      </c>
      <c r="E9" s="10">
        <v>6</v>
      </c>
      <c r="F9" s="7" t="s">
        <v>18</v>
      </c>
      <c r="G9" s="31">
        <f t="shared" si="1"/>
        <v>8.8719898605830166E-3</v>
      </c>
      <c r="H9" s="11">
        <v>1578</v>
      </c>
      <c r="I9" s="9">
        <v>10</v>
      </c>
      <c r="J9" s="10">
        <v>4</v>
      </c>
    </row>
    <row r="10" spans="1:10" ht="14.25" customHeight="1" x14ac:dyDescent="0.3">
      <c r="A10" s="7" t="s">
        <v>19</v>
      </c>
      <c r="B10" s="31">
        <f t="shared" si="0"/>
        <v>2.9166666666666667E-2</v>
      </c>
      <c r="C10" s="8">
        <v>240</v>
      </c>
      <c r="D10" s="9">
        <v>6</v>
      </c>
      <c r="E10" s="10">
        <v>1</v>
      </c>
      <c r="F10" s="7" t="s">
        <v>20</v>
      </c>
      <c r="G10" s="31">
        <f t="shared" si="1"/>
        <v>0</v>
      </c>
      <c r="H10" s="8">
        <v>39</v>
      </c>
      <c r="I10" s="9">
        <v>0</v>
      </c>
      <c r="J10" s="10">
        <v>0</v>
      </c>
    </row>
    <row r="11" spans="1:10" ht="14.25" customHeight="1" x14ac:dyDescent="0.3">
      <c r="A11" s="7" t="s">
        <v>21</v>
      </c>
      <c r="B11" s="31">
        <f t="shared" si="0"/>
        <v>3.2258064516129031E-2</v>
      </c>
      <c r="C11" s="8">
        <v>217</v>
      </c>
      <c r="D11" s="9">
        <v>6</v>
      </c>
      <c r="E11" s="10">
        <v>1</v>
      </c>
      <c r="F11" s="7" t="s">
        <v>22</v>
      </c>
      <c r="G11" s="31">
        <f t="shared" si="1"/>
        <v>3.8461538461538464E-2</v>
      </c>
      <c r="H11" s="8">
        <v>26</v>
      </c>
      <c r="I11" s="9">
        <v>0</v>
      </c>
      <c r="J11" s="10">
        <v>1</v>
      </c>
    </row>
    <row r="12" spans="1:10" ht="14.25" customHeight="1" x14ac:dyDescent="0.3">
      <c r="A12" s="7" t="s">
        <v>23</v>
      </c>
      <c r="B12" s="31">
        <f t="shared" si="0"/>
        <v>2.2317596566523604E-2</v>
      </c>
      <c r="C12" s="11">
        <v>2330</v>
      </c>
      <c r="D12" s="9">
        <v>38</v>
      </c>
      <c r="E12" s="10">
        <v>14</v>
      </c>
      <c r="F12" s="7" t="s">
        <v>24</v>
      </c>
      <c r="G12" s="31">
        <f t="shared" si="1"/>
        <v>1.2477718360071301E-2</v>
      </c>
      <c r="H12" s="8">
        <v>561</v>
      </c>
      <c r="I12" s="9">
        <v>3</v>
      </c>
      <c r="J12" s="10">
        <v>4</v>
      </c>
    </row>
    <row r="13" spans="1:10" ht="14.25" customHeight="1" x14ac:dyDescent="0.3">
      <c r="A13" s="7" t="s">
        <v>25</v>
      </c>
      <c r="B13" s="31">
        <f t="shared" si="0"/>
        <v>3.4653465346534656E-2</v>
      </c>
      <c r="C13" s="8">
        <v>202</v>
      </c>
      <c r="D13" s="9">
        <v>7</v>
      </c>
      <c r="E13" s="10">
        <v>0</v>
      </c>
      <c r="F13" s="7" t="s">
        <v>26</v>
      </c>
      <c r="G13" s="31">
        <f t="shared" si="1"/>
        <v>1.5267175572519083E-2</v>
      </c>
      <c r="H13" s="8">
        <v>393</v>
      </c>
      <c r="I13" s="9">
        <v>5</v>
      </c>
      <c r="J13" s="10">
        <v>1</v>
      </c>
    </row>
    <row r="14" spans="1:10" ht="14.25" customHeight="1" x14ac:dyDescent="0.3">
      <c r="A14" s="7" t="s">
        <v>27</v>
      </c>
      <c r="B14" s="31">
        <f t="shared" si="0"/>
        <v>3.9426523297491037E-2</v>
      </c>
      <c r="C14" s="8">
        <v>279</v>
      </c>
      <c r="D14" s="9">
        <v>9</v>
      </c>
      <c r="E14" s="10">
        <v>2</v>
      </c>
      <c r="F14" s="7" t="s">
        <v>28</v>
      </c>
      <c r="G14" s="31">
        <f t="shared" si="1"/>
        <v>3.0434782608695653E-2</v>
      </c>
      <c r="H14" s="8">
        <v>230</v>
      </c>
      <c r="I14" s="9">
        <v>5</v>
      </c>
      <c r="J14" s="10">
        <v>2</v>
      </c>
    </row>
    <row r="15" spans="1:10" ht="14.25" customHeight="1" x14ac:dyDescent="0.3">
      <c r="A15" s="7" t="s">
        <v>29</v>
      </c>
      <c r="B15" s="31">
        <f t="shared" si="0"/>
        <v>4.5454545454545456E-2</v>
      </c>
      <c r="C15" s="8">
        <v>198</v>
      </c>
      <c r="D15" s="9">
        <v>9</v>
      </c>
      <c r="E15" s="10">
        <v>0</v>
      </c>
      <c r="F15" s="7" t="s">
        <v>30</v>
      </c>
      <c r="G15" s="31">
        <f t="shared" si="1"/>
        <v>6.1111111111111109E-2</v>
      </c>
      <c r="H15" s="8">
        <v>180</v>
      </c>
      <c r="I15" s="9">
        <v>9</v>
      </c>
      <c r="J15" s="10">
        <v>2</v>
      </c>
    </row>
    <row r="16" spans="1:10" ht="14.25" customHeight="1" x14ac:dyDescent="0.3">
      <c r="A16" s="7" t="s">
        <v>31</v>
      </c>
      <c r="B16" s="31">
        <f t="shared" si="0"/>
        <v>8.7976539589442824E-3</v>
      </c>
      <c r="C16" s="8">
        <v>341</v>
      </c>
      <c r="D16" s="9">
        <v>3</v>
      </c>
      <c r="E16" s="10">
        <v>0</v>
      </c>
      <c r="F16" s="7" t="s">
        <v>32</v>
      </c>
      <c r="G16" s="31">
        <f t="shared" si="1"/>
        <v>1.0752688172043012E-2</v>
      </c>
      <c r="H16" s="8">
        <v>372</v>
      </c>
      <c r="I16" s="9">
        <v>3</v>
      </c>
      <c r="J16" s="10">
        <v>1</v>
      </c>
    </row>
    <row r="17" spans="1:10" ht="14.25" customHeight="1" x14ac:dyDescent="0.3">
      <c r="A17" s="7" t="s">
        <v>33</v>
      </c>
      <c r="B17" s="31">
        <f t="shared" si="0"/>
        <v>1.8913971934106162E-2</v>
      </c>
      <c r="C17" s="11">
        <v>1639</v>
      </c>
      <c r="D17" s="9">
        <v>26</v>
      </c>
      <c r="E17" s="10">
        <v>5</v>
      </c>
      <c r="F17" s="7" t="s">
        <v>34</v>
      </c>
      <c r="G17" s="31">
        <f t="shared" si="1"/>
        <v>2.0869565217391306E-2</v>
      </c>
      <c r="H17" s="8">
        <v>575</v>
      </c>
      <c r="I17" s="9">
        <v>6</v>
      </c>
      <c r="J17" s="10">
        <v>6</v>
      </c>
    </row>
    <row r="18" spans="1:10" ht="14.25" customHeight="1" x14ac:dyDescent="0.3">
      <c r="A18" s="7" t="s">
        <v>35</v>
      </c>
      <c r="B18" s="31">
        <f t="shared" si="0"/>
        <v>4.488778054862843E-2</v>
      </c>
      <c r="C18" s="8">
        <v>401</v>
      </c>
      <c r="D18" s="9">
        <v>12</v>
      </c>
      <c r="E18" s="10">
        <v>6</v>
      </c>
      <c r="F18" s="7" t="s">
        <v>36</v>
      </c>
      <c r="G18" s="31">
        <f t="shared" si="1"/>
        <v>2.2361359570661897E-2</v>
      </c>
      <c r="H18" s="11">
        <v>1118</v>
      </c>
      <c r="I18" s="9">
        <v>20</v>
      </c>
      <c r="J18" s="10">
        <v>5</v>
      </c>
    </row>
    <row r="19" spans="1:10" ht="14.25" customHeight="1" x14ac:dyDescent="0.3">
      <c r="A19" s="7" t="s">
        <v>37</v>
      </c>
      <c r="B19" s="31">
        <f t="shared" si="0"/>
        <v>4.7835990888382689E-2</v>
      </c>
      <c r="C19" s="8">
        <v>439</v>
      </c>
      <c r="D19" s="9">
        <v>21</v>
      </c>
      <c r="E19" s="10">
        <v>0</v>
      </c>
      <c r="F19" s="7" t="s">
        <v>38</v>
      </c>
      <c r="G19" s="31">
        <f t="shared" si="1"/>
        <v>1.2185833968012186E-2</v>
      </c>
      <c r="H19" s="11">
        <v>1313</v>
      </c>
      <c r="I19" s="9">
        <v>9</v>
      </c>
      <c r="J19" s="10">
        <v>7</v>
      </c>
    </row>
    <row r="20" spans="1:10" ht="14.25" customHeight="1" x14ac:dyDescent="0.3">
      <c r="A20" s="7" t="s">
        <v>39</v>
      </c>
      <c r="B20" s="31">
        <f t="shared" si="0"/>
        <v>3.7974683544303799E-2</v>
      </c>
      <c r="C20" s="8">
        <v>79</v>
      </c>
      <c r="D20" s="9">
        <v>3</v>
      </c>
      <c r="E20" s="10">
        <v>0</v>
      </c>
      <c r="F20" s="7" t="s">
        <v>40</v>
      </c>
      <c r="G20" s="31">
        <f t="shared" si="1"/>
        <v>1.6317016317016316E-2</v>
      </c>
      <c r="H20" s="8">
        <v>429</v>
      </c>
      <c r="I20" s="9">
        <v>6</v>
      </c>
      <c r="J20" s="10">
        <v>1</v>
      </c>
    </row>
    <row r="21" spans="1:10" ht="14.25" customHeight="1" x14ac:dyDescent="0.3">
      <c r="A21" s="7" t="s">
        <v>41</v>
      </c>
      <c r="B21" s="31">
        <f t="shared" si="0"/>
        <v>3.7037037037037038E-3</v>
      </c>
      <c r="C21" s="8">
        <v>540</v>
      </c>
      <c r="D21" s="9">
        <v>2</v>
      </c>
      <c r="E21" s="10">
        <v>0</v>
      </c>
      <c r="F21" s="7" t="s">
        <v>42</v>
      </c>
      <c r="G21" s="31">
        <f t="shared" si="1"/>
        <v>1.3372956909361069E-2</v>
      </c>
      <c r="H21" s="11">
        <v>8749</v>
      </c>
      <c r="I21" s="9">
        <v>87</v>
      </c>
      <c r="J21" s="10">
        <v>30</v>
      </c>
    </row>
    <row r="22" spans="1:10" ht="14.25" customHeight="1" x14ac:dyDescent="0.3">
      <c r="A22" s="7" t="s">
        <v>43</v>
      </c>
      <c r="B22" s="31">
        <f t="shared" si="0"/>
        <v>4.2780748663101602E-2</v>
      </c>
      <c r="C22" s="8">
        <v>187</v>
      </c>
      <c r="D22" s="9">
        <v>7</v>
      </c>
      <c r="E22" s="10">
        <v>1</v>
      </c>
      <c r="F22" s="7" t="s">
        <v>44</v>
      </c>
      <c r="G22" s="31">
        <f t="shared" si="1"/>
        <v>5.9701492537313433E-3</v>
      </c>
      <c r="H22" s="8">
        <v>335</v>
      </c>
      <c r="I22" s="9">
        <v>2</v>
      </c>
      <c r="J22" s="10">
        <v>0</v>
      </c>
    </row>
    <row r="23" spans="1:10" ht="14.25" customHeight="1" x14ac:dyDescent="0.3">
      <c r="A23" s="7" t="s">
        <v>45</v>
      </c>
      <c r="B23" s="31">
        <f t="shared" si="0"/>
        <v>1.0353227771010963E-2</v>
      </c>
      <c r="C23" s="11">
        <v>1642</v>
      </c>
      <c r="D23" s="9">
        <v>15</v>
      </c>
      <c r="E23" s="10">
        <v>2</v>
      </c>
      <c r="F23" s="7" t="s">
        <v>46</v>
      </c>
      <c r="G23" s="31">
        <f t="shared" si="1"/>
        <v>0.1111111111111111</v>
      </c>
      <c r="H23" s="8">
        <v>9</v>
      </c>
      <c r="I23" s="9">
        <v>1</v>
      </c>
      <c r="J23" s="10">
        <v>0</v>
      </c>
    </row>
    <row r="24" spans="1:10" ht="14.25" customHeight="1" x14ac:dyDescent="0.3">
      <c r="A24" s="7" t="s">
        <v>47</v>
      </c>
      <c r="B24" s="31">
        <f t="shared" si="0"/>
        <v>1.335559265442404E-2</v>
      </c>
      <c r="C24" s="8">
        <v>599</v>
      </c>
      <c r="D24" s="9">
        <v>6</v>
      </c>
      <c r="E24" s="10">
        <v>2</v>
      </c>
      <c r="F24" s="7" t="s">
        <v>48</v>
      </c>
      <c r="G24" s="31">
        <f t="shared" si="1"/>
        <v>2.6690391459074734E-2</v>
      </c>
      <c r="H24" s="8">
        <v>562</v>
      </c>
      <c r="I24" s="9">
        <v>12</v>
      </c>
      <c r="J24" s="10">
        <v>3</v>
      </c>
    </row>
    <row r="25" spans="1:10" ht="14.25" customHeight="1" x14ac:dyDescent="0.3">
      <c r="A25" s="7" t="s">
        <v>49</v>
      </c>
      <c r="B25" s="31">
        <f t="shared" si="0"/>
        <v>0</v>
      </c>
      <c r="C25" s="8">
        <v>75</v>
      </c>
      <c r="D25" s="9">
        <v>0</v>
      </c>
      <c r="E25" s="10">
        <v>0</v>
      </c>
      <c r="F25" s="7" t="s">
        <v>50</v>
      </c>
      <c r="G25" s="31">
        <f t="shared" si="1"/>
        <v>2.2049286640726331E-2</v>
      </c>
      <c r="H25" s="8">
        <v>771</v>
      </c>
      <c r="I25" s="9">
        <v>13</v>
      </c>
      <c r="J25" s="10">
        <v>4</v>
      </c>
    </row>
    <row r="26" spans="1:10" ht="14.25" customHeight="1" x14ac:dyDescent="0.3">
      <c r="A26" s="7" t="s">
        <v>51</v>
      </c>
      <c r="B26" s="31">
        <f t="shared" si="0"/>
        <v>2.3344191096634093E-2</v>
      </c>
      <c r="C26" s="11">
        <v>3684</v>
      </c>
      <c r="D26" s="9">
        <v>76</v>
      </c>
      <c r="E26" s="10">
        <v>10</v>
      </c>
      <c r="F26" s="7" t="s">
        <v>52</v>
      </c>
      <c r="G26" s="31">
        <f t="shared" si="1"/>
        <v>1.5053763440860216E-2</v>
      </c>
      <c r="H26" s="8">
        <v>465</v>
      </c>
      <c r="I26" s="9">
        <v>6</v>
      </c>
      <c r="J26" s="10">
        <v>1</v>
      </c>
    </row>
    <row r="27" spans="1:10" ht="14.25" customHeight="1" x14ac:dyDescent="0.3">
      <c r="A27" s="7" t="s">
        <v>53</v>
      </c>
      <c r="B27" s="31">
        <f t="shared" si="0"/>
        <v>6.1224489795918366E-2</v>
      </c>
      <c r="C27" s="8">
        <v>49</v>
      </c>
      <c r="D27" s="9">
        <v>3</v>
      </c>
      <c r="E27" s="10">
        <v>0</v>
      </c>
      <c r="F27" s="7" t="s">
        <v>54</v>
      </c>
      <c r="G27" s="31">
        <f t="shared" si="1"/>
        <v>2.3809523809523808E-2</v>
      </c>
      <c r="H27" s="8">
        <v>210</v>
      </c>
      <c r="I27" s="9">
        <v>4</v>
      </c>
      <c r="J27" s="10">
        <v>1</v>
      </c>
    </row>
    <row r="28" spans="1:10" ht="14.25" customHeight="1" x14ac:dyDescent="0.3">
      <c r="A28" s="7" t="s">
        <v>55</v>
      </c>
      <c r="B28" s="31">
        <f t="shared" si="0"/>
        <v>1.276595744680851E-2</v>
      </c>
      <c r="C28" s="8">
        <v>235</v>
      </c>
      <c r="D28" s="9">
        <v>2</v>
      </c>
      <c r="E28" s="10">
        <v>1</v>
      </c>
      <c r="F28" s="7" t="s">
        <v>56</v>
      </c>
      <c r="G28" s="31">
        <f t="shared" si="1"/>
        <v>1.1642283123840923E-2</v>
      </c>
      <c r="H28" s="11">
        <v>9706</v>
      </c>
      <c r="I28" s="9">
        <v>77</v>
      </c>
      <c r="J28" s="10">
        <v>36</v>
      </c>
    </row>
    <row r="29" spans="1:10" ht="14.25" customHeight="1" x14ac:dyDescent="0.3">
      <c r="A29" s="7" t="s">
        <v>57</v>
      </c>
      <c r="B29" s="31">
        <f t="shared" si="0"/>
        <v>7.2869955156950675E-3</v>
      </c>
      <c r="C29" s="11">
        <v>1784</v>
      </c>
      <c r="D29" s="9">
        <v>10</v>
      </c>
      <c r="E29" s="10">
        <v>3</v>
      </c>
      <c r="F29" s="7" t="s">
        <v>58</v>
      </c>
      <c r="G29" s="31">
        <f t="shared" si="1"/>
        <v>8.2758620689655175E-3</v>
      </c>
      <c r="H29" s="8">
        <v>725</v>
      </c>
      <c r="I29" s="9">
        <v>6</v>
      </c>
      <c r="J29" s="10">
        <v>0</v>
      </c>
    </row>
    <row r="30" spans="1:10" ht="14.25" customHeight="1" x14ac:dyDescent="0.3">
      <c r="A30" s="7" t="s">
        <v>59</v>
      </c>
      <c r="B30" s="31">
        <f t="shared" si="0"/>
        <v>5.9093893630991464E-3</v>
      </c>
      <c r="C30" s="11">
        <v>1523</v>
      </c>
      <c r="D30" s="9">
        <v>8</v>
      </c>
      <c r="E30" s="10">
        <v>1</v>
      </c>
      <c r="F30" s="7" t="s">
        <v>60</v>
      </c>
      <c r="G30" s="31">
        <f t="shared" si="1"/>
        <v>9.5104895104895105E-3</v>
      </c>
      <c r="H30" s="11">
        <v>3575</v>
      </c>
      <c r="I30" s="9">
        <v>24</v>
      </c>
      <c r="J30" s="10">
        <v>10</v>
      </c>
    </row>
    <row r="31" spans="1:10" ht="14.25" customHeight="1" x14ac:dyDescent="0.3">
      <c r="A31" s="7" t="s">
        <v>61</v>
      </c>
      <c r="B31" s="31">
        <f t="shared" si="0"/>
        <v>2.7027027027027029E-2</v>
      </c>
      <c r="C31" s="8">
        <v>37</v>
      </c>
      <c r="D31" s="9">
        <v>1</v>
      </c>
      <c r="E31" s="10">
        <v>0</v>
      </c>
      <c r="F31" s="7" t="s">
        <v>62</v>
      </c>
      <c r="G31" s="31">
        <f t="shared" si="1"/>
        <v>2.3255813953488372E-2</v>
      </c>
      <c r="H31" s="8">
        <v>129</v>
      </c>
      <c r="I31" s="9">
        <v>3</v>
      </c>
      <c r="J31" s="10">
        <v>0</v>
      </c>
    </row>
    <row r="32" spans="1:10" ht="14.25" customHeight="1" x14ac:dyDescent="0.3">
      <c r="A32" s="7" t="s">
        <v>63</v>
      </c>
      <c r="B32" s="31">
        <f t="shared" si="0"/>
        <v>1.2012012012012012E-2</v>
      </c>
      <c r="C32" s="11">
        <v>3330</v>
      </c>
      <c r="D32" s="9">
        <v>33</v>
      </c>
      <c r="E32" s="10">
        <v>7</v>
      </c>
      <c r="F32" s="7" t="s">
        <v>64</v>
      </c>
      <c r="G32" s="31">
        <f t="shared" si="1"/>
        <v>0</v>
      </c>
      <c r="H32" s="8">
        <v>333</v>
      </c>
      <c r="I32" s="9">
        <v>0</v>
      </c>
      <c r="J32" s="10">
        <v>0</v>
      </c>
    </row>
    <row r="33" spans="1:10" ht="14.25" customHeight="1" x14ac:dyDescent="0.3">
      <c r="A33" s="7" t="s">
        <v>65</v>
      </c>
      <c r="B33" s="31">
        <f t="shared" si="0"/>
        <v>2.1052631578947368E-2</v>
      </c>
      <c r="C33" s="8">
        <v>95</v>
      </c>
      <c r="D33" s="9">
        <v>2</v>
      </c>
      <c r="E33" s="10">
        <v>0</v>
      </c>
      <c r="F33" s="7" t="s">
        <v>66</v>
      </c>
      <c r="G33" s="31">
        <f t="shared" si="1"/>
        <v>4.5662100456621002E-3</v>
      </c>
      <c r="H33" s="8">
        <v>219</v>
      </c>
      <c r="I33" s="9">
        <v>1</v>
      </c>
      <c r="J33" s="10">
        <v>0</v>
      </c>
    </row>
    <row r="34" spans="1:10" ht="14.25" customHeight="1" x14ac:dyDescent="0.3">
      <c r="A34" s="7" t="s">
        <v>67</v>
      </c>
      <c r="B34" s="31">
        <f t="shared" si="0"/>
        <v>1.3059447694191267E-2</v>
      </c>
      <c r="C34" s="11">
        <v>7351</v>
      </c>
      <c r="D34" s="9">
        <v>79</v>
      </c>
      <c r="E34" s="10">
        <v>17</v>
      </c>
      <c r="F34" s="7" t="s">
        <v>68</v>
      </c>
      <c r="G34" s="31">
        <f t="shared" si="1"/>
        <v>3.0821917808219176E-2</v>
      </c>
      <c r="H34" s="8">
        <v>292</v>
      </c>
      <c r="I34" s="9">
        <v>7</v>
      </c>
      <c r="J34" s="10">
        <v>2</v>
      </c>
    </row>
    <row r="35" spans="1:10" ht="14.25" customHeight="1" x14ac:dyDescent="0.3">
      <c r="A35" s="7" t="s">
        <v>69</v>
      </c>
      <c r="B35" s="31">
        <f t="shared" si="0"/>
        <v>4.1594454072790298E-2</v>
      </c>
      <c r="C35" s="8">
        <v>577</v>
      </c>
      <c r="D35" s="9">
        <v>19</v>
      </c>
      <c r="E35" s="10">
        <v>5</v>
      </c>
      <c r="F35" s="7" t="s">
        <v>70</v>
      </c>
      <c r="G35" s="31">
        <f t="shared" si="1"/>
        <v>0</v>
      </c>
      <c r="H35" s="8">
        <v>103</v>
      </c>
      <c r="I35" s="9">
        <v>0</v>
      </c>
      <c r="J35" s="10">
        <v>0</v>
      </c>
    </row>
    <row r="36" spans="1:10" ht="14.25" customHeight="1" x14ac:dyDescent="0.3">
      <c r="A36" s="7" t="s">
        <v>71</v>
      </c>
      <c r="B36" s="31">
        <f t="shared" si="0"/>
        <v>5.3353658536585365E-2</v>
      </c>
      <c r="C36" s="8">
        <v>656</v>
      </c>
      <c r="D36" s="9">
        <v>33</v>
      </c>
      <c r="E36" s="10">
        <v>2</v>
      </c>
      <c r="F36" s="7" t="s">
        <v>72</v>
      </c>
      <c r="G36" s="31">
        <f t="shared" si="1"/>
        <v>1.1204481792717087E-2</v>
      </c>
      <c r="H36" s="11">
        <v>2142</v>
      </c>
      <c r="I36" s="9">
        <v>23</v>
      </c>
      <c r="J36" s="10">
        <v>1</v>
      </c>
    </row>
    <row r="37" spans="1:10" ht="14.25" customHeight="1" x14ac:dyDescent="0.3">
      <c r="A37" s="7" t="s">
        <v>73</v>
      </c>
      <c r="B37" s="31">
        <f t="shared" si="0"/>
        <v>8.4048027444253853E-2</v>
      </c>
      <c r="C37" s="8">
        <v>583</v>
      </c>
      <c r="D37" s="9">
        <v>18</v>
      </c>
      <c r="E37" s="10">
        <v>31</v>
      </c>
      <c r="F37" s="7" t="s">
        <v>74</v>
      </c>
      <c r="G37" s="31">
        <f t="shared" si="1"/>
        <v>1.8843404808317088E-2</v>
      </c>
      <c r="H37" s="11">
        <v>1539</v>
      </c>
      <c r="I37" s="9">
        <v>23</v>
      </c>
      <c r="J37" s="10">
        <v>6</v>
      </c>
    </row>
    <row r="38" spans="1:10" ht="14.25" customHeight="1" x14ac:dyDescent="0.3">
      <c r="A38" s="7" t="s">
        <v>75</v>
      </c>
      <c r="B38" s="31">
        <f t="shared" si="0"/>
        <v>5.2380952380952382E-2</v>
      </c>
      <c r="C38" s="8">
        <v>210</v>
      </c>
      <c r="D38" s="9">
        <v>9</v>
      </c>
      <c r="E38" s="10">
        <v>2</v>
      </c>
      <c r="F38" s="7" t="s">
        <v>76</v>
      </c>
      <c r="G38" s="31">
        <f t="shared" si="1"/>
        <v>2.1621621621621623E-2</v>
      </c>
      <c r="H38" s="8">
        <v>185</v>
      </c>
      <c r="I38" s="9">
        <v>3</v>
      </c>
      <c r="J38" s="10">
        <v>1</v>
      </c>
    </row>
    <row r="39" spans="1:10" ht="14.25" customHeight="1" x14ac:dyDescent="0.3">
      <c r="A39" s="7" t="s">
        <v>77</v>
      </c>
      <c r="B39" s="31">
        <f t="shared" si="0"/>
        <v>1.6511867905056758E-2</v>
      </c>
      <c r="C39" s="8">
        <v>969</v>
      </c>
      <c r="D39" s="9">
        <v>10</v>
      </c>
      <c r="E39" s="10">
        <v>6</v>
      </c>
      <c r="F39" s="7" t="s">
        <v>78</v>
      </c>
      <c r="G39" s="31">
        <f t="shared" si="1"/>
        <v>1.4031805425631431E-2</v>
      </c>
      <c r="H39" s="11">
        <v>1069</v>
      </c>
      <c r="I39" s="9">
        <v>12</v>
      </c>
      <c r="J39" s="10">
        <v>3</v>
      </c>
    </row>
    <row r="40" spans="1:10" ht="14.25" customHeight="1" x14ac:dyDescent="0.3">
      <c r="A40" s="7" t="s">
        <v>79</v>
      </c>
      <c r="B40" s="31">
        <f t="shared" si="0"/>
        <v>1.3157894736842105E-2</v>
      </c>
      <c r="C40" s="8">
        <v>152</v>
      </c>
      <c r="D40" s="9">
        <v>2</v>
      </c>
      <c r="E40" s="10">
        <v>0</v>
      </c>
      <c r="F40" s="7" t="s">
        <v>80</v>
      </c>
      <c r="G40" s="31">
        <f t="shared" si="1"/>
        <v>1.8749999999999999E-2</v>
      </c>
      <c r="H40" s="8">
        <v>160</v>
      </c>
      <c r="I40" s="9">
        <v>3</v>
      </c>
      <c r="J40" s="10">
        <v>0</v>
      </c>
    </row>
    <row r="41" spans="1:10" ht="14.25" customHeight="1" x14ac:dyDescent="0.3">
      <c r="A41" s="12" t="s">
        <v>81</v>
      </c>
      <c r="B41" s="31">
        <f t="shared" si="0"/>
        <v>1.4150943396226415E-2</v>
      </c>
      <c r="C41" s="13">
        <v>212</v>
      </c>
      <c r="D41" s="14">
        <v>3</v>
      </c>
      <c r="E41" s="15">
        <v>0</v>
      </c>
      <c r="F41" s="12" t="s">
        <v>82</v>
      </c>
      <c r="G41" s="31">
        <f t="shared" si="1"/>
        <v>0</v>
      </c>
      <c r="H41" s="13">
        <v>116</v>
      </c>
      <c r="I41" s="14">
        <v>0</v>
      </c>
      <c r="J41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36" workbookViewId="0">
      <selection activeCell="H2" sqref="H2:H40"/>
    </sheetView>
  </sheetViews>
  <sheetFormatPr defaultRowHeight="13" x14ac:dyDescent="0.3"/>
  <cols>
    <col min="1" max="1" width="16.69921875" customWidth="1"/>
    <col min="2" max="2" width="21.796875" customWidth="1"/>
    <col min="3" max="4" width="12.3984375" customWidth="1"/>
    <col min="5" max="5" width="14.69921875" customWidth="1"/>
    <col min="6" max="6" width="16.69921875" customWidth="1"/>
    <col min="7" max="7" width="22.59765625" customWidth="1"/>
    <col min="8" max="9" width="12.3984375" customWidth="1"/>
    <col min="10" max="10" width="14.69921875" customWidth="1"/>
  </cols>
  <sheetData>
    <row r="1" spans="1:10" ht="35.75" customHeight="1" x14ac:dyDescent="0.3">
      <c r="A1" s="33" t="s">
        <v>205</v>
      </c>
      <c r="B1" s="33" t="s">
        <v>206</v>
      </c>
      <c r="C1" s="1" t="s">
        <v>0</v>
      </c>
      <c r="D1" s="2" t="s">
        <v>1</v>
      </c>
      <c r="E1" s="2" t="s">
        <v>2</v>
      </c>
      <c r="F1" s="33" t="s">
        <v>205</v>
      </c>
      <c r="G1" s="33" t="s">
        <v>206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1">
        <f>(D2+E2)/C2</f>
        <v>0.04</v>
      </c>
      <c r="C2" s="4">
        <v>100</v>
      </c>
      <c r="D2" s="5">
        <v>3</v>
      </c>
      <c r="E2" s="6">
        <v>1</v>
      </c>
      <c r="F2" s="3" t="s">
        <v>84</v>
      </c>
      <c r="G2" s="31">
        <f>(I2+J2)/H2</f>
        <v>0.1228719467061436</v>
      </c>
      <c r="H2" s="16">
        <v>1351</v>
      </c>
      <c r="I2" s="5">
        <v>59</v>
      </c>
      <c r="J2" s="6">
        <v>107</v>
      </c>
    </row>
    <row r="3" spans="1:10" ht="14.25" customHeight="1" x14ac:dyDescent="0.3">
      <c r="A3" s="7" t="s">
        <v>85</v>
      </c>
      <c r="B3" s="31">
        <f t="shared" ref="B3:B41" si="0">(D3+E3)/C3</f>
        <v>1.4285714285714285E-2</v>
      </c>
      <c r="C3" s="8">
        <v>140</v>
      </c>
      <c r="D3" s="9">
        <v>0</v>
      </c>
      <c r="E3" s="10">
        <v>2</v>
      </c>
      <c r="F3" s="7" t="s">
        <v>86</v>
      </c>
      <c r="G3" s="31">
        <f t="shared" ref="G3:G40" si="1">(I3+J3)/H3</f>
        <v>1.3295346628679962E-2</v>
      </c>
      <c r="H3" s="11">
        <v>1053</v>
      </c>
      <c r="I3" s="9">
        <v>12</v>
      </c>
      <c r="J3" s="10">
        <v>2</v>
      </c>
    </row>
    <row r="4" spans="1:10" ht="14.25" customHeight="1" x14ac:dyDescent="0.3">
      <c r="A4" s="7" t="s">
        <v>87</v>
      </c>
      <c r="B4" s="31">
        <f t="shared" si="0"/>
        <v>3.8167938931297711E-2</v>
      </c>
      <c r="C4" s="8">
        <v>131</v>
      </c>
      <c r="D4" s="9">
        <v>5</v>
      </c>
      <c r="E4" s="10">
        <v>0</v>
      </c>
      <c r="F4" s="7" t="s">
        <v>88</v>
      </c>
      <c r="G4" s="31">
        <f t="shared" si="1"/>
        <v>7.5471698113207544E-2</v>
      </c>
      <c r="H4" s="8">
        <v>53</v>
      </c>
      <c r="I4" s="9">
        <v>2</v>
      </c>
      <c r="J4" s="10">
        <v>2</v>
      </c>
    </row>
    <row r="5" spans="1:10" ht="14.25" customHeight="1" x14ac:dyDescent="0.3">
      <c r="A5" s="7" t="s">
        <v>89</v>
      </c>
      <c r="B5" s="31">
        <f t="shared" si="0"/>
        <v>1.9512195121951219E-2</v>
      </c>
      <c r="C5" s="8">
        <v>205</v>
      </c>
      <c r="D5" s="9">
        <v>3</v>
      </c>
      <c r="E5" s="10">
        <v>1</v>
      </c>
      <c r="F5" s="7" t="s">
        <v>90</v>
      </c>
      <c r="G5" s="31">
        <f t="shared" si="1"/>
        <v>4.6263345195729534E-2</v>
      </c>
      <c r="H5" s="8">
        <v>281</v>
      </c>
      <c r="I5" s="9">
        <v>12</v>
      </c>
      <c r="J5" s="10">
        <v>1</v>
      </c>
    </row>
    <row r="6" spans="1:10" ht="14.25" customHeight="1" x14ac:dyDescent="0.3">
      <c r="A6" s="7" t="s">
        <v>91</v>
      </c>
      <c r="B6" s="31">
        <f t="shared" si="0"/>
        <v>3.9525691699604744E-2</v>
      </c>
      <c r="C6" s="8">
        <v>253</v>
      </c>
      <c r="D6" s="9">
        <v>6</v>
      </c>
      <c r="E6" s="10">
        <v>4</v>
      </c>
      <c r="F6" s="7" t="s">
        <v>92</v>
      </c>
      <c r="G6" s="31">
        <f t="shared" si="1"/>
        <v>4.4444444444444446E-2</v>
      </c>
      <c r="H6" s="8">
        <v>45</v>
      </c>
      <c r="I6" s="9">
        <v>0</v>
      </c>
      <c r="J6" s="10">
        <v>2</v>
      </c>
    </row>
    <row r="7" spans="1:10" ht="14.25" customHeight="1" x14ac:dyDescent="0.3">
      <c r="A7" s="7" t="s">
        <v>93</v>
      </c>
      <c r="B7" s="31">
        <f t="shared" si="0"/>
        <v>6.7961165048543687E-2</v>
      </c>
      <c r="C7" s="8">
        <v>103</v>
      </c>
      <c r="D7" s="9">
        <v>6</v>
      </c>
      <c r="E7" s="10">
        <v>1</v>
      </c>
      <c r="F7" s="7" t="s">
        <v>94</v>
      </c>
      <c r="G7" s="31">
        <f t="shared" si="1"/>
        <v>6.4090480678605094E-2</v>
      </c>
      <c r="H7" s="11">
        <v>1061</v>
      </c>
      <c r="I7" s="9">
        <v>50</v>
      </c>
      <c r="J7" s="10">
        <v>18</v>
      </c>
    </row>
    <row r="8" spans="1:10" ht="14.25" customHeight="1" x14ac:dyDescent="0.3">
      <c r="A8" s="7" t="s">
        <v>95</v>
      </c>
      <c r="B8" s="31">
        <f t="shared" si="0"/>
        <v>3.3548387096774192E-2</v>
      </c>
      <c r="C8" s="8">
        <v>775</v>
      </c>
      <c r="D8" s="9">
        <v>20</v>
      </c>
      <c r="E8" s="10">
        <v>6</v>
      </c>
      <c r="F8" s="7" t="s">
        <v>96</v>
      </c>
      <c r="G8" s="31">
        <f t="shared" si="1"/>
        <v>8.8028169014084511E-3</v>
      </c>
      <c r="H8" s="8">
        <v>568</v>
      </c>
      <c r="I8" s="9">
        <v>4</v>
      </c>
      <c r="J8" s="10">
        <v>1</v>
      </c>
    </row>
    <row r="9" spans="1:10" ht="14.25" customHeight="1" x14ac:dyDescent="0.3">
      <c r="A9" s="7" t="s">
        <v>97</v>
      </c>
      <c r="B9" s="31">
        <f t="shared" si="0"/>
        <v>1.6339869281045753E-2</v>
      </c>
      <c r="C9" s="8">
        <v>306</v>
      </c>
      <c r="D9" s="9">
        <v>3</v>
      </c>
      <c r="E9" s="10">
        <v>2</v>
      </c>
      <c r="F9" s="7" t="s">
        <v>98</v>
      </c>
      <c r="G9" s="31">
        <f t="shared" si="1"/>
        <v>0.11428571428571428</v>
      </c>
      <c r="H9" s="8">
        <v>35</v>
      </c>
      <c r="I9" s="9">
        <v>1</v>
      </c>
      <c r="J9" s="10">
        <v>3</v>
      </c>
    </row>
    <row r="10" spans="1:10" ht="14.25" customHeight="1" x14ac:dyDescent="0.3">
      <c r="A10" s="7" t="s">
        <v>99</v>
      </c>
      <c r="B10" s="31">
        <f t="shared" si="0"/>
        <v>7.0011668611435242E-3</v>
      </c>
      <c r="C10" s="8">
        <v>857</v>
      </c>
      <c r="D10" s="9">
        <v>3</v>
      </c>
      <c r="E10" s="10">
        <v>3</v>
      </c>
      <c r="F10" s="7" t="s">
        <v>100</v>
      </c>
      <c r="G10" s="31">
        <f t="shared" si="1"/>
        <v>5.8823529411764705E-2</v>
      </c>
      <c r="H10" s="8">
        <v>391</v>
      </c>
      <c r="I10" s="9">
        <v>20</v>
      </c>
      <c r="J10" s="10">
        <v>3</v>
      </c>
    </row>
    <row r="11" spans="1:10" ht="14.25" customHeight="1" x14ac:dyDescent="0.3">
      <c r="A11" s="7" t="s">
        <v>101</v>
      </c>
      <c r="B11" s="31">
        <f t="shared" si="0"/>
        <v>3.4482758620689655E-2</v>
      </c>
      <c r="C11" s="8">
        <v>29</v>
      </c>
      <c r="D11" s="9">
        <v>1</v>
      </c>
      <c r="E11" s="10">
        <v>0</v>
      </c>
      <c r="F11" s="7" t="s">
        <v>102</v>
      </c>
      <c r="G11" s="31">
        <f t="shared" si="1"/>
        <v>0</v>
      </c>
      <c r="H11" s="8">
        <v>69</v>
      </c>
      <c r="I11" s="9">
        <v>0</v>
      </c>
      <c r="J11" s="10">
        <v>0</v>
      </c>
    </row>
    <row r="12" spans="1:10" ht="14.25" customHeight="1" x14ac:dyDescent="0.3">
      <c r="A12" s="7" t="s">
        <v>103</v>
      </c>
      <c r="B12" s="31">
        <f t="shared" si="0"/>
        <v>1.4150943396226415E-2</v>
      </c>
      <c r="C12" s="8">
        <v>212</v>
      </c>
      <c r="D12" s="9">
        <v>3</v>
      </c>
      <c r="E12" s="10">
        <v>0</v>
      </c>
      <c r="F12" s="7" t="s">
        <v>104</v>
      </c>
      <c r="G12" s="31">
        <f t="shared" si="1"/>
        <v>7.6923076923076927E-2</v>
      </c>
      <c r="H12" s="8">
        <v>13</v>
      </c>
      <c r="I12" s="9">
        <v>0</v>
      </c>
      <c r="J12" s="10">
        <v>1</v>
      </c>
    </row>
    <row r="13" spans="1:10" ht="14.25" customHeight="1" x14ac:dyDescent="0.3">
      <c r="A13" s="7" t="s">
        <v>105</v>
      </c>
      <c r="B13" s="31">
        <f t="shared" si="0"/>
        <v>4.1269841269841269E-2</v>
      </c>
      <c r="C13" s="11">
        <v>2205</v>
      </c>
      <c r="D13" s="9">
        <v>84</v>
      </c>
      <c r="E13" s="10">
        <v>7</v>
      </c>
      <c r="F13" s="7" t="s">
        <v>106</v>
      </c>
      <c r="G13" s="31">
        <f t="shared" si="1"/>
        <v>1.5432098765432098E-2</v>
      </c>
      <c r="H13" s="8">
        <v>324</v>
      </c>
      <c r="I13" s="9">
        <v>3</v>
      </c>
      <c r="J13" s="10">
        <v>2</v>
      </c>
    </row>
    <row r="14" spans="1:10" ht="14.25" customHeight="1" x14ac:dyDescent="0.3">
      <c r="A14" s="7" t="s">
        <v>107</v>
      </c>
      <c r="B14" s="31">
        <f t="shared" si="0"/>
        <v>7.3529411764705881E-3</v>
      </c>
      <c r="C14" s="8">
        <v>272</v>
      </c>
      <c r="D14" s="9">
        <v>1</v>
      </c>
      <c r="E14" s="10">
        <v>1</v>
      </c>
      <c r="F14" s="7" t="s">
        <v>108</v>
      </c>
      <c r="G14" s="31">
        <f t="shared" si="1"/>
        <v>2.3529411764705882E-2</v>
      </c>
      <c r="H14" s="8">
        <v>85</v>
      </c>
      <c r="I14" s="9">
        <v>1</v>
      </c>
      <c r="J14" s="10">
        <v>1</v>
      </c>
    </row>
    <row r="15" spans="1:10" ht="14.25" customHeight="1" x14ac:dyDescent="0.3">
      <c r="A15" s="7" t="s">
        <v>109</v>
      </c>
      <c r="B15" s="31">
        <f t="shared" si="0"/>
        <v>6.2146892655367235E-2</v>
      </c>
      <c r="C15" s="8">
        <v>177</v>
      </c>
      <c r="D15" s="9">
        <v>8</v>
      </c>
      <c r="E15" s="10">
        <v>3</v>
      </c>
      <c r="F15" s="7" t="s">
        <v>110</v>
      </c>
      <c r="G15" s="31">
        <f t="shared" si="1"/>
        <v>1.2931034482758621E-2</v>
      </c>
      <c r="H15" s="8">
        <v>232</v>
      </c>
      <c r="I15" s="9">
        <v>3</v>
      </c>
      <c r="J15" s="10">
        <v>0</v>
      </c>
    </row>
    <row r="16" spans="1:10" ht="14.25" customHeight="1" x14ac:dyDescent="0.3">
      <c r="A16" s="7" t="s">
        <v>111</v>
      </c>
      <c r="B16" s="31">
        <f t="shared" si="0"/>
        <v>2.6966292134831461E-2</v>
      </c>
      <c r="C16" s="8">
        <v>445</v>
      </c>
      <c r="D16" s="9">
        <v>10</v>
      </c>
      <c r="E16" s="10">
        <v>2</v>
      </c>
      <c r="F16" s="7" t="s">
        <v>112</v>
      </c>
      <c r="G16" s="31">
        <f t="shared" si="1"/>
        <v>0.10280373831775701</v>
      </c>
      <c r="H16" s="8">
        <v>107</v>
      </c>
      <c r="I16" s="9">
        <v>9</v>
      </c>
      <c r="J16" s="10">
        <v>2</v>
      </c>
    </row>
    <row r="17" spans="1:10" ht="14.25" customHeight="1" x14ac:dyDescent="0.3">
      <c r="A17" s="7" t="s">
        <v>113</v>
      </c>
      <c r="B17" s="31">
        <f t="shared" si="0"/>
        <v>9.5238095238095233E-2</v>
      </c>
      <c r="C17" s="8">
        <v>84</v>
      </c>
      <c r="D17" s="9">
        <v>8</v>
      </c>
      <c r="E17" s="10">
        <v>0</v>
      </c>
      <c r="F17" s="7" t="s">
        <v>114</v>
      </c>
      <c r="G17" s="31">
        <f t="shared" si="1"/>
        <v>1.9067796610169493E-2</v>
      </c>
      <c r="H17" s="8">
        <v>944</v>
      </c>
      <c r="I17" s="9">
        <v>13</v>
      </c>
      <c r="J17" s="10">
        <v>5</v>
      </c>
    </row>
    <row r="18" spans="1:10" ht="14.25" customHeight="1" x14ac:dyDescent="0.3">
      <c r="A18" s="7" t="s">
        <v>115</v>
      </c>
      <c r="B18" s="31">
        <f t="shared" si="0"/>
        <v>0.14492753623188406</v>
      </c>
      <c r="C18" s="8">
        <v>69</v>
      </c>
      <c r="D18" s="9">
        <v>5</v>
      </c>
      <c r="E18" s="10">
        <v>5</v>
      </c>
      <c r="F18" s="7" t="s">
        <v>116</v>
      </c>
      <c r="G18" s="31">
        <f t="shared" si="1"/>
        <v>6.3461538461538458E-2</v>
      </c>
      <c r="H18" s="8">
        <v>520</v>
      </c>
      <c r="I18" s="9">
        <v>29</v>
      </c>
      <c r="J18" s="10">
        <v>4</v>
      </c>
    </row>
    <row r="19" spans="1:10" ht="14.25" customHeight="1" x14ac:dyDescent="0.3">
      <c r="A19" s="7" t="s">
        <v>117</v>
      </c>
      <c r="B19" s="31">
        <f t="shared" si="0"/>
        <v>5.4794520547945202E-2</v>
      </c>
      <c r="C19" s="8">
        <v>73</v>
      </c>
      <c r="D19" s="9">
        <v>3</v>
      </c>
      <c r="E19" s="10">
        <v>1</v>
      </c>
      <c r="F19" s="7" t="s">
        <v>118</v>
      </c>
      <c r="G19" s="31">
        <f t="shared" si="1"/>
        <v>3.2000000000000001E-2</v>
      </c>
      <c r="H19" s="8">
        <v>250</v>
      </c>
      <c r="I19" s="9">
        <v>6</v>
      </c>
      <c r="J19" s="10">
        <v>2</v>
      </c>
    </row>
    <row r="20" spans="1:10" ht="14.25" customHeight="1" x14ac:dyDescent="0.3">
      <c r="A20" s="7" t="s">
        <v>119</v>
      </c>
      <c r="B20" s="31">
        <f t="shared" si="0"/>
        <v>3.0303030303030304E-2</v>
      </c>
      <c r="C20" s="8">
        <v>231</v>
      </c>
      <c r="D20" s="9">
        <v>7</v>
      </c>
      <c r="E20" s="10">
        <v>0</v>
      </c>
      <c r="F20" s="7" t="s">
        <v>120</v>
      </c>
      <c r="G20" s="31">
        <f t="shared" si="1"/>
        <v>7.7519379844961239E-3</v>
      </c>
      <c r="H20" s="8">
        <v>129</v>
      </c>
      <c r="I20" s="9">
        <v>1</v>
      </c>
      <c r="J20" s="10">
        <v>0</v>
      </c>
    </row>
    <row r="21" spans="1:10" ht="14.25" customHeight="1" x14ac:dyDescent="0.3">
      <c r="A21" s="7" t="s">
        <v>121</v>
      </c>
      <c r="B21" s="31">
        <f t="shared" si="0"/>
        <v>2.7777777777777776E-2</v>
      </c>
      <c r="C21" s="8">
        <v>36</v>
      </c>
      <c r="D21" s="9">
        <v>0</v>
      </c>
      <c r="E21" s="10">
        <v>1</v>
      </c>
      <c r="F21" s="7" t="s">
        <v>122</v>
      </c>
      <c r="G21" s="31">
        <f t="shared" si="1"/>
        <v>3.2258064516129031E-2</v>
      </c>
      <c r="H21" s="8">
        <v>62</v>
      </c>
      <c r="I21" s="9">
        <v>2</v>
      </c>
      <c r="J21" s="10">
        <v>0</v>
      </c>
    </row>
    <row r="22" spans="1:10" ht="14.25" customHeight="1" x14ac:dyDescent="0.3">
      <c r="A22" s="7" t="s">
        <v>123</v>
      </c>
      <c r="B22" s="31">
        <f t="shared" si="0"/>
        <v>2.3316062176165803E-2</v>
      </c>
      <c r="C22" s="8">
        <v>386</v>
      </c>
      <c r="D22" s="9">
        <v>5</v>
      </c>
      <c r="E22" s="10">
        <v>4</v>
      </c>
      <c r="F22" s="7" t="s">
        <v>124</v>
      </c>
      <c r="G22" s="31">
        <f t="shared" si="1"/>
        <v>1.984126984126984E-2</v>
      </c>
      <c r="H22" s="11">
        <v>1008</v>
      </c>
      <c r="I22" s="9">
        <v>17</v>
      </c>
      <c r="J22" s="10">
        <v>3</v>
      </c>
    </row>
    <row r="23" spans="1:10" ht="14.25" customHeight="1" x14ac:dyDescent="0.3">
      <c r="A23" s="7" t="s">
        <v>125</v>
      </c>
      <c r="B23" s="31">
        <f t="shared" si="0"/>
        <v>1.6949152542372881E-2</v>
      </c>
      <c r="C23" s="8">
        <v>295</v>
      </c>
      <c r="D23" s="9">
        <v>4</v>
      </c>
      <c r="E23" s="10">
        <v>1</v>
      </c>
      <c r="F23" s="7" t="s">
        <v>126</v>
      </c>
      <c r="G23" s="31">
        <f t="shared" si="1"/>
        <v>3.7499999999999999E-2</v>
      </c>
      <c r="H23" s="8">
        <v>80</v>
      </c>
      <c r="I23" s="9">
        <v>3</v>
      </c>
      <c r="J23" s="10">
        <v>0</v>
      </c>
    </row>
    <row r="24" spans="1:10" ht="14.25" customHeight="1" x14ac:dyDescent="0.3">
      <c r="A24" s="7" t="s">
        <v>127</v>
      </c>
      <c r="B24" s="31">
        <f t="shared" si="0"/>
        <v>2.5974025974025976E-2</v>
      </c>
      <c r="C24" s="8">
        <v>77</v>
      </c>
      <c r="D24" s="9">
        <v>2</v>
      </c>
      <c r="E24" s="10">
        <v>0</v>
      </c>
      <c r="F24" s="7" t="s">
        <v>128</v>
      </c>
      <c r="G24" s="31">
        <f t="shared" si="1"/>
        <v>4.2857142857142858E-2</v>
      </c>
      <c r="H24" s="8">
        <v>70</v>
      </c>
      <c r="I24" s="9">
        <v>3</v>
      </c>
      <c r="J24" s="10">
        <v>0</v>
      </c>
    </row>
    <row r="25" spans="1:10" ht="14.25" customHeight="1" x14ac:dyDescent="0.3">
      <c r="A25" s="7" t="s">
        <v>129</v>
      </c>
      <c r="B25" s="31">
        <f t="shared" si="0"/>
        <v>1.1627906976744186E-2</v>
      </c>
      <c r="C25" s="8">
        <v>258</v>
      </c>
      <c r="D25" s="9">
        <v>3</v>
      </c>
      <c r="E25" s="10">
        <v>0</v>
      </c>
      <c r="F25" s="7" t="s">
        <v>130</v>
      </c>
      <c r="G25" s="31">
        <f t="shared" si="1"/>
        <v>2.9556650246305417E-2</v>
      </c>
      <c r="H25" s="8">
        <v>203</v>
      </c>
      <c r="I25" s="9">
        <v>5</v>
      </c>
      <c r="J25" s="10">
        <v>1</v>
      </c>
    </row>
    <row r="26" spans="1:10" ht="14.25" customHeight="1" x14ac:dyDescent="0.3">
      <c r="A26" s="7" t="s">
        <v>131</v>
      </c>
      <c r="B26" s="31">
        <f t="shared" si="0"/>
        <v>2.2784810126582278E-2</v>
      </c>
      <c r="C26" s="8">
        <v>790</v>
      </c>
      <c r="D26" s="9">
        <v>12</v>
      </c>
      <c r="E26" s="10">
        <v>6</v>
      </c>
      <c r="F26" s="7" t="s">
        <v>132</v>
      </c>
      <c r="G26" s="31">
        <f t="shared" si="1"/>
        <v>2.8753993610223641E-2</v>
      </c>
      <c r="H26" s="8">
        <v>313</v>
      </c>
      <c r="I26" s="9">
        <v>9</v>
      </c>
      <c r="J26" s="10">
        <v>0</v>
      </c>
    </row>
    <row r="27" spans="1:10" ht="14.25" customHeight="1" x14ac:dyDescent="0.3">
      <c r="A27" s="7" t="s">
        <v>133</v>
      </c>
      <c r="B27" s="31">
        <f t="shared" si="0"/>
        <v>1.5952455426962778E-2</v>
      </c>
      <c r="C27" s="11">
        <v>3197</v>
      </c>
      <c r="D27" s="9">
        <v>39</v>
      </c>
      <c r="E27" s="10">
        <v>12</v>
      </c>
      <c r="F27" s="7" t="s">
        <v>134</v>
      </c>
      <c r="G27" s="31">
        <f t="shared" si="1"/>
        <v>1.3477088948787063E-2</v>
      </c>
      <c r="H27" s="8">
        <v>742</v>
      </c>
      <c r="I27" s="9">
        <v>8</v>
      </c>
      <c r="J27" s="10">
        <v>2</v>
      </c>
    </row>
    <row r="28" spans="1:10" ht="14.25" customHeight="1" x14ac:dyDescent="0.3">
      <c r="A28" s="7" t="s">
        <v>135</v>
      </c>
      <c r="B28" s="31">
        <f t="shared" si="0"/>
        <v>1.7146356399265157E-2</v>
      </c>
      <c r="C28" s="11">
        <v>1633</v>
      </c>
      <c r="D28" s="9">
        <v>23</v>
      </c>
      <c r="E28" s="10">
        <v>5</v>
      </c>
      <c r="F28" s="7" t="s">
        <v>136</v>
      </c>
      <c r="G28" s="31">
        <f t="shared" si="1"/>
        <v>1.1980830670926517E-2</v>
      </c>
      <c r="H28" s="11">
        <v>1252</v>
      </c>
      <c r="I28" s="9">
        <v>12</v>
      </c>
      <c r="J28" s="10">
        <v>3</v>
      </c>
    </row>
    <row r="29" spans="1:10" ht="14.25" customHeight="1" x14ac:dyDescent="0.3">
      <c r="A29" s="7" t="s">
        <v>137</v>
      </c>
      <c r="B29" s="31">
        <f t="shared" si="0"/>
        <v>8.0971659919028341E-3</v>
      </c>
      <c r="C29" s="8">
        <v>247</v>
      </c>
      <c r="D29" s="9">
        <v>1</v>
      </c>
      <c r="E29" s="10">
        <v>1</v>
      </c>
      <c r="F29" s="7" t="s">
        <v>138</v>
      </c>
      <c r="G29" s="31">
        <f t="shared" si="1"/>
        <v>1.1594202898550725E-2</v>
      </c>
      <c r="H29" s="8">
        <v>690</v>
      </c>
      <c r="I29" s="9">
        <v>6</v>
      </c>
      <c r="J29" s="10">
        <v>2</v>
      </c>
    </row>
    <row r="30" spans="1:10" ht="14.25" customHeight="1" x14ac:dyDescent="0.3">
      <c r="A30" s="7" t="s">
        <v>139</v>
      </c>
      <c r="B30" s="31">
        <f t="shared" si="0"/>
        <v>0</v>
      </c>
      <c r="C30" s="8">
        <v>90</v>
      </c>
      <c r="D30" s="9">
        <v>0</v>
      </c>
      <c r="E30" s="10">
        <v>0</v>
      </c>
      <c r="F30" s="7" t="s">
        <v>140</v>
      </c>
      <c r="G30" s="31">
        <f t="shared" si="1"/>
        <v>0.26666666666666666</v>
      </c>
      <c r="H30" s="8">
        <v>15</v>
      </c>
      <c r="I30" s="9">
        <v>0</v>
      </c>
      <c r="J30" s="10">
        <v>4</v>
      </c>
    </row>
    <row r="31" spans="1:10" ht="14.25" customHeight="1" x14ac:dyDescent="0.3">
      <c r="A31" s="7" t="s">
        <v>141</v>
      </c>
      <c r="B31" s="31">
        <f t="shared" si="0"/>
        <v>1.2558869701726845E-2</v>
      </c>
      <c r="C31" s="11">
        <v>1274</v>
      </c>
      <c r="D31" s="9">
        <v>14</v>
      </c>
      <c r="E31" s="10">
        <v>2</v>
      </c>
      <c r="F31" s="7" t="s">
        <v>142</v>
      </c>
      <c r="G31" s="31">
        <f t="shared" si="1"/>
        <v>3.9119804400977995E-2</v>
      </c>
      <c r="H31" s="8">
        <v>409</v>
      </c>
      <c r="I31" s="9">
        <v>12</v>
      </c>
      <c r="J31" s="10">
        <v>4</v>
      </c>
    </row>
    <row r="32" spans="1:10" ht="14.25" customHeight="1" x14ac:dyDescent="0.3">
      <c r="A32" s="7" t="s">
        <v>143</v>
      </c>
      <c r="B32" s="31">
        <f t="shared" si="0"/>
        <v>2.4830699774266364E-2</v>
      </c>
      <c r="C32" s="8">
        <v>443</v>
      </c>
      <c r="D32" s="9">
        <v>10</v>
      </c>
      <c r="E32" s="10">
        <v>1</v>
      </c>
      <c r="F32" s="7" t="s">
        <v>144</v>
      </c>
      <c r="G32" s="31">
        <f t="shared" si="1"/>
        <v>1.4109347442680775E-2</v>
      </c>
      <c r="H32" s="8">
        <v>567</v>
      </c>
      <c r="I32" s="9">
        <v>7</v>
      </c>
      <c r="J32" s="10">
        <v>1</v>
      </c>
    </row>
    <row r="33" spans="1:10" ht="14.25" customHeight="1" x14ac:dyDescent="0.3">
      <c r="A33" s="7" t="s">
        <v>145</v>
      </c>
      <c r="B33" s="31">
        <f t="shared" si="0"/>
        <v>0</v>
      </c>
      <c r="C33" s="8">
        <v>239</v>
      </c>
      <c r="D33" s="9">
        <v>0</v>
      </c>
      <c r="E33" s="10">
        <v>0</v>
      </c>
      <c r="F33" s="7" t="s">
        <v>146</v>
      </c>
      <c r="G33" s="31">
        <f t="shared" si="1"/>
        <v>0.1</v>
      </c>
      <c r="H33" s="8">
        <v>20</v>
      </c>
      <c r="I33" s="9">
        <v>2</v>
      </c>
      <c r="J33" s="10">
        <v>0</v>
      </c>
    </row>
    <row r="34" spans="1:10" ht="14.25" customHeight="1" x14ac:dyDescent="0.3">
      <c r="A34" s="7" t="s">
        <v>147</v>
      </c>
      <c r="B34" s="31">
        <f t="shared" si="0"/>
        <v>0</v>
      </c>
      <c r="C34" s="8">
        <v>353</v>
      </c>
      <c r="D34" s="9">
        <v>0</v>
      </c>
      <c r="E34" s="10">
        <v>0</v>
      </c>
      <c r="F34" s="7" t="s">
        <v>148</v>
      </c>
      <c r="G34" s="31">
        <f t="shared" si="1"/>
        <v>2.7027027027027029E-2</v>
      </c>
      <c r="H34" s="8">
        <v>74</v>
      </c>
      <c r="I34" s="9">
        <v>1</v>
      </c>
      <c r="J34" s="10">
        <v>1</v>
      </c>
    </row>
    <row r="35" spans="1:10" ht="14.25" customHeight="1" x14ac:dyDescent="0.3">
      <c r="A35" s="7" t="s">
        <v>149</v>
      </c>
      <c r="B35" s="31">
        <f t="shared" si="0"/>
        <v>7.1748878923766815E-2</v>
      </c>
      <c r="C35" s="8">
        <v>223</v>
      </c>
      <c r="D35" s="9">
        <v>15</v>
      </c>
      <c r="E35" s="10">
        <v>1</v>
      </c>
      <c r="F35" s="7" t="s">
        <v>150</v>
      </c>
      <c r="G35" s="31">
        <f t="shared" si="1"/>
        <v>2.4390243902439025E-2</v>
      </c>
      <c r="H35" s="8">
        <v>328</v>
      </c>
      <c r="I35" s="9">
        <v>6</v>
      </c>
      <c r="J35" s="10">
        <v>2</v>
      </c>
    </row>
    <row r="36" spans="1:10" ht="14.25" customHeight="1" x14ac:dyDescent="0.3">
      <c r="A36" s="7" t="s">
        <v>151</v>
      </c>
      <c r="B36" s="31">
        <f t="shared" si="0"/>
        <v>7.9207920792079209E-3</v>
      </c>
      <c r="C36" s="8">
        <v>505</v>
      </c>
      <c r="D36" s="9">
        <v>3</v>
      </c>
      <c r="E36" s="10">
        <v>1</v>
      </c>
      <c r="F36" s="7" t="s">
        <v>152</v>
      </c>
      <c r="G36" s="31">
        <f t="shared" si="1"/>
        <v>2.1621621621621623E-2</v>
      </c>
      <c r="H36" s="11">
        <v>1850</v>
      </c>
      <c r="I36" s="9">
        <v>26</v>
      </c>
      <c r="J36" s="10">
        <v>14</v>
      </c>
    </row>
    <row r="37" spans="1:10" ht="14.25" customHeight="1" x14ac:dyDescent="0.3">
      <c r="A37" s="7" t="s">
        <v>153</v>
      </c>
      <c r="B37" s="31">
        <f t="shared" si="0"/>
        <v>4.3478260869565216E-2</v>
      </c>
      <c r="C37" s="8">
        <v>115</v>
      </c>
      <c r="D37" s="9">
        <v>4</v>
      </c>
      <c r="E37" s="10">
        <v>1</v>
      </c>
      <c r="F37" s="7" t="s">
        <v>154</v>
      </c>
      <c r="G37" s="31">
        <f t="shared" si="1"/>
        <v>1.9607843137254902E-2</v>
      </c>
      <c r="H37" s="8">
        <v>102</v>
      </c>
      <c r="I37" s="9">
        <v>2</v>
      </c>
      <c r="J37" s="10">
        <v>0</v>
      </c>
    </row>
    <row r="38" spans="1:10" ht="14.25" customHeight="1" x14ac:dyDescent="0.3">
      <c r="A38" s="7" t="s">
        <v>155</v>
      </c>
      <c r="B38" s="31">
        <f t="shared" si="0"/>
        <v>1.7361111111111112E-2</v>
      </c>
      <c r="C38" s="8">
        <v>288</v>
      </c>
      <c r="D38" s="9">
        <v>5</v>
      </c>
      <c r="E38" s="10">
        <v>0</v>
      </c>
      <c r="F38" s="7" t="s">
        <v>156</v>
      </c>
      <c r="G38" s="31">
        <f t="shared" si="1"/>
        <v>5.2631578947368418E-2</v>
      </c>
      <c r="H38" s="8">
        <v>76</v>
      </c>
      <c r="I38" s="9">
        <v>1</v>
      </c>
      <c r="J38" s="10">
        <v>3</v>
      </c>
    </row>
    <row r="39" spans="1:10" ht="14.25" customHeight="1" x14ac:dyDescent="0.3">
      <c r="A39" s="7" t="s">
        <v>157</v>
      </c>
      <c r="B39" s="31">
        <f t="shared" si="0"/>
        <v>3.4482758620689655E-2</v>
      </c>
      <c r="C39" s="8">
        <v>29</v>
      </c>
      <c r="D39" s="9">
        <v>1</v>
      </c>
      <c r="E39" s="10">
        <v>0</v>
      </c>
      <c r="F39" s="7" t="s">
        <v>158</v>
      </c>
      <c r="G39" s="31">
        <f t="shared" si="1"/>
        <v>3.4285714285714287E-2</v>
      </c>
      <c r="H39" s="8">
        <v>175</v>
      </c>
      <c r="I39" s="9">
        <v>4</v>
      </c>
      <c r="J39" s="10">
        <v>2</v>
      </c>
    </row>
    <row r="40" spans="1:10" ht="14.25" customHeight="1" x14ac:dyDescent="0.3">
      <c r="A40" s="7" t="s">
        <v>159</v>
      </c>
      <c r="B40" s="31">
        <f t="shared" si="0"/>
        <v>2.2222222222222223E-2</v>
      </c>
      <c r="C40" s="8">
        <v>135</v>
      </c>
      <c r="D40" s="9">
        <v>2</v>
      </c>
      <c r="E40" s="10">
        <v>1</v>
      </c>
      <c r="F40" s="7" t="s">
        <v>160</v>
      </c>
      <c r="G40" s="31">
        <f t="shared" si="1"/>
        <v>2.6881720430107527E-2</v>
      </c>
      <c r="H40" s="8">
        <v>186</v>
      </c>
      <c r="I40" s="9">
        <v>5</v>
      </c>
      <c r="J40" s="10">
        <v>0</v>
      </c>
    </row>
    <row r="41" spans="1:10" ht="14.25" customHeight="1" x14ac:dyDescent="0.3">
      <c r="A41" s="12" t="s">
        <v>161</v>
      </c>
      <c r="B41" s="31">
        <f t="shared" si="0"/>
        <v>5.4945054945054944E-2</v>
      </c>
      <c r="C41" s="13">
        <v>91</v>
      </c>
      <c r="D41" s="14">
        <v>5</v>
      </c>
      <c r="E41" s="15">
        <v>0</v>
      </c>
      <c r="F41" s="17" t="s">
        <v>162</v>
      </c>
      <c r="G41" s="30"/>
      <c r="H41" s="18">
        <v>118351</v>
      </c>
      <c r="I41" s="19">
        <v>1746</v>
      </c>
      <c r="J41" s="15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BA3F-69FB-4CB1-8A18-681D11A5FC37}">
  <dimension ref="A1:I160"/>
  <sheetViews>
    <sheetView workbookViewId="0">
      <selection activeCell="F15" sqref="F15"/>
    </sheetView>
  </sheetViews>
  <sheetFormatPr defaultRowHeight="13" x14ac:dyDescent="0.3"/>
  <cols>
    <col min="2" max="2" width="13.8984375" customWidth="1"/>
    <col min="3" max="3" width="20.69921875" customWidth="1"/>
  </cols>
  <sheetData>
    <row r="1" spans="1:9" s="35" customFormat="1" x14ac:dyDescent="0.3">
      <c r="A1" s="35" t="s">
        <v>201</v>
      </c>
      <c r="B1" s="35" t="s">
        <v>200</v>
      </c>
      <c r="C1" s="35" t="s">
        <v>202</v>
      </c>
      <c r="D1" s="35" t="s">
        <v>203</v>
      </c>
    </row>
    <row r="2" spans="1:9" x14ac:dyDescent="0.3">
      <c r="A2" t="s">
        <v>207</v>
      </c>
      <c r="B2" s="34">
        <v>2.7131782945736434E-2</v>
      </c>
      <c r="C2" s="4">
        <v>258</v>
      </c>
      <c r="D2">
        <v>2019</v>
      </c>
    </row>
    <row r="3" spans="1:9" x14ac:dyDescent="0.3">
      <c r="A3" t="s">
        <v>208</v>
      </c>
      <c r="B3" s="34">
        <v>4.6979865771812082E-2</v>
      </c>
      <c r="C3" s="8">
        <v>149</v>
      </c>
      <c r="D3">
        <v>2019</v>
      </c>
    </row>
    <row r="4" spans="1:9" x14ac:dyDescent="0.3">
      <c r="A4" t="s">
        <v>209</v>
      </c>
      <c r="B4" s="34">
        <v>1.4084507042253521E-2</v>
      </c>
      <c r="C4" s="8">
        <v>71</v>
      </c>
      <c r="D4">
        <v>2019</v>
      </c>
      <c r="H4" s="34">
        <f>AVERAGE(B2:B160)</f>
        <v>3.0771922840748301E-2</v>
      </c>
      <c r="I4" s="32" t="s">
        <v>204</v>
      </c>
    </row>
    <row r="5" spans="1:9" x14ac:dyDescent="0.3">
      <c r="A5" t="s">
        <v>210</v>
      </c>
      <c r="B5" s="34">
        <v>0.06</v>
      </c>
      <c r="C5" s="8">
        <v>50</v>
      </c>
      <c r="D5">
        <v>2019</v>
      </c>
    </row>
    <row r="6" spans="1:9" x14ac:dyDescent="0.3">
      <c r="A6" t="s">
        <v>211</v>
      </c>
      <c r="B6" s="34">
        <v>1.4999999999999999E-2</v>
      </c>
      <c r="C6" s="8">
        <v>600</v>
      </c>
      <c r="D6">
        <v>2019</v>
      </c>
    </row>
    <row r="7" spans="1:9" x14ac:dyDescent="0.3">
      <c r="A7" t="s">
        <v>212</v>
      </c>
      <c r="B7" s="34">
        <v>1.0256410256410256E-2</v>
      </c>
      <c r="C7" s="8">
        <v>585</v>
      </c>
      <c r="D7">
        <v>2019</v>
      </c>
    </row>
    <row r="8" spans="1:9" x14ac:dyDescent="0.3">
      <c r="A8" t="s">
        <v>213</v>
      </c>
      <c r="B8" s="34">
        <v>1.0770505385252692E-2</v>
      </c>
      <c r="C8" s="11">
        <v>1207</v>
      </c>
      <c r="D8">
        <v>2019</v>
      </c>
    </row>
    <row r="9" spans="1:9" x14ac:dyDescent="0.3">
      <c r="A9" t="s">
        <v>214</v>
      </c>
      <c r="B9" s="34">
        <v>1.2151536812008578E-2</v>
      </c>
      <c r="C9" s="11">
        <v>1399</v>
      </c>
      <c r="D9">
        <v>2019</v>
      </c>
    </row>
    <row r="10" spans="1:9" x14ac:dyDescent="0.3">
      <c r="A10" t="s">
        <v>215</v>
      </c>
      <c r="B10" s="34">
        <v>2.9166666666666667E-2</v>
      </c>
      <c r="C10" s="8">
        <v>240</v>
      </c>
      <c r="D10">
        <v>2019</v>
      </c>
    </row>
    <row r="11" spans="1:9" x14ac:dyDescent="0.3">
      <c r="A11" t="s">
        <v>216</v>
      </c>
      <c r="B11" s="34">
        <v>3.2258064516129031E-2</v>
      </c>
      <c r="C11" s="8">
        <v>217</v>
      </c>
      <c r="D11">
        <v>2019</v>
      </c>
    </row>
    <row r="12" spans="1:9" x14ac:dyDescent="0.3">
      <c r="A12" t="s">
        <v>217</v>
      </c>
      <c r="B12" s="34">
        <v>2.2317596566523604E-2</v>
      </c>
      <c r="C12" s="11">
        <v>2330</v>
      </c>
      <c r="D12">
        <v>2019</v>
      </c>
    </row>
    <row r="13" spans="1:9" x14ac:dyDescent="0.3">
      <c r="A13" t="s">
        <v>218</v>
      </c>
      <c r="B13" s="34">
        <v>3.4653465346534656E-2</v>
      </c>
      <c r="C13" s="8">
        <v>202</v>
      </c>
      <c r="D13">
        <v>2019</v>
      </c>
    </row>
    <row r="14" spans="1:9" x14ac:dyDescent="0.3">
      <c r="A14" t="s">
        <v>219</v>
      </c>
      <c r="B14" s="34">
        <v>3.9426523297491037E-2</v>
      </c>
      <c r="C14" s="8">
        <v>279</v>
      </c>
      <c r="D14">
        <v>2019</v>
      </c>
    </row>
    <row r="15" spans="1:9" x14ac:dyDescent="0.3">
      <c r="A15" t="s">
        <v>220</v>
      </c>
      <c r="B15" s="34">
        <v>4.5454545454545456E-2</v>
      </c>
      <c r="C15" s="8">
        <v>198</v>
      </c>
      <c r="D15">
        <v>2019</v>
      </c>
    </row>
    <row r="16" spans="1:9" x14ac:dyDescent="0.3">
      <c r="A16" t="s">
        <v>221</v>
      </c>
      <c r="B16" s="34">
        <v>8.7976539589442824E-3</v>
      </c>
      <c r="C16" s="8">
        <v>341</v>
      </c>
      <c r="D16">
        <v>2019</v>
      </c>
    </row>
    <row r="17" spans="1:4" x14ac:dyDescent="0.3">
      <c r="A17" t="s">
        <v>222</v>
      </c>
      <c r="B17" s="34">
        <v>1.8913971934106162E-2</v>
      </c>
      <c r="C17" s="11">
        <v>1639</v>
      </c>
      <c r="D17">
        <v>2019</v>
      </c>
    </row>
    <row r="18" spans="1:4" x14ac:dyDescent="0.3">
      <c r="A18" t="s">
        <v>223</v>
      </c>
      <c r="B18" s="34">
        <v>4.488778054862843E-2</v>
      </c>
      <c r="C18" s="8">
        <v>401</v>
      </c>
      <c r="D18">
        <v>2019</v>
      </c>
    </row>
    <row r="19" spans="1:4" x14ac:dyDescent="0.3">
      <c r="A19" t="s">
        <v>224</v>
      </c>
      <c r="B19" s="34">
        <v>4.7835990888382689E-2</v>
      </c>
      <c r="C19" s="8">
        <v>439</v>
      </c>
      <c r="D19">
        <v>2019</v>
      </c>
    </row>
    <row r="20" spans="1:4" x14ac:dyDescent="0.3">
      <c r="A20" t="s">
        <v>225</v>
      </c>
      <c r="B20" s="34">
        <v>3.7974683544303799E-2</v>
      </c>
      <c r="C20" s="8">
        <v>79</v>
      </c>
      <c r="D20">
        <v>2019</v>
      </c>
    </row>
    <row r="21" spans="1:4" x14ac:dyDescent="0.3">
      <c r="A21" t="s">
        <v>226</v>
      </c>
      <c r="B21" s="34">
        <v>3.7037037037037038E-3</v>
      </c>
      <c r="C21" s="8">
        <v>540</v>
      </c>
      <c r="D21">
        <v>2019</v>
      </c>
    </row>
    <row r="22" spans="1:4" x14ac:dyDescent="0.3">
      <c r="A22" t="s">
        <v>227</v>
      </c>
      <c r="B22" s="34">
        <v>4.2780748663101602E-2</v>
      </c>
      <c r="C22" s="8">
        <v>187</v>
      </c>
      <c r="D22">
        <v>2019</v>
      </c>
    </row>
    <row r="23" spans="1:4" x14ac:dyDescent="0.3">
      <c r="A23" t="s">
        <v>228</v>
      </c>
      <c r="B23" s="34">
        <v>1.0353227771010963E-2</v>
      </c>
      <c r="C23" s="11">
        <v>1642</v>
      </c>
      <c r="D23">
        <v>2019</v>
      </c>
    </row>
    <row r="24" spans="1:4" x14ac:dyDescent="0.3">
      <c r="A24" t="s">
        <v>229</v>
      </c>
      <c r="B24" s="34">
        <v>1.335559265442404E-2</v>
      </c>
      <c r="C24" s="8">
        <v>599</v>
      </c>
      <c r="D24">
        <v>2019</v>
      </c>
    </row>
    <row r="25" spans="1:4" x14ac:dyDescent="0.3">
      <c r="A25" t="s">
        <v>230</v>
      </c>
      <c r="B25" s="34">
        <v>0</v>
      </c>
      <c r="C25" s="8">
        <v>75</v>
      </c>
      <c r="D25">
        <v>2019</v>
      </c>
    </row>
    <row r="26" spans="1:4" x14ac:dyDescent="0.3">
      <c r="A26" t="s">
        <v>231</v>
      </c>
      <c r="B26" s="34">
        <v>2.3344191096634093E-2</v>
      </c>
      <c r="C26" s="11">
        <v>3684</v>
      </c>
      <c r="D26">
        <v>2019</v>
      </c>
    </row>
    <row r="27" spans="1:4" x14ac:dyDescent="0.3">
      <c r="A27" t="s">
        <v>232</v>
      </c>
      <c r="B27" s="34">
        <v>6.1224489795918366E-2</v>
      </c>
      <c r="C27" s="8">
        <v>49</v>
      </c>
      <c r="D27">
        <v>2019</v>
      </c>
    </row>
    <row r="28" spans="1:4" x14ac:dyDescent="0.3">
      <c r="A28" t="s">
        <v>233</v>
      </c>
      <c r="B28" s="34">
        <v>1.276595744680851E-2</v>
      </c>
      <c r="C28" s="8">
        <v>235</v>
      </c>
      <c r="D28">
        <v>2019</v>
      </c>
    </row>
    <row r="29" spans="1:4" x14ac:dyDescent="0.3">
      <c r="A29" t="s">
        <v>234</v>
      </c>
      <c r="B29" s="34">
        <v>7.2869955156950675E-3</v>
      </c>
      <c r="C29" s="11">
        <v>1784</v>
      </c>
      <c r="D29">
        <v>2019</v>
      </c>
    </row>
    <row r="30" spans="1:4" x14ac:dyDescent="0.3">
      <c r="A30" t="s">
        <v>235</v>
      </c>
      <c r="B30" s="34">
        <v>5.9093893630991464E-3</v>
      </c>
      <c r="C30" s="11">
        <v>1523</v>
      </c>
      <c r="D30">
        <v>2019</v>
      </c>
    </row>
    <row r="31" spans="1:4" x14ac:dyDescent="0.3">
      <c r="A31" t="s">
        <v>236</v>
      </c>
      <c r="B31" s="34">
        <v>2.7027027027027029E-2</v>
      </c>
      <c r="C31" s="8">
        <v>37</v>
      </c>
      <c r="D31">
        <v>2019</v>
      </c>
    </row>
    <row r="32" spans="1:4" x14ac:dyDescent="0.3">
      <c r="A32" t="s">
        <v>237</v>
      </c>
      <c r="B32" s="34">
        <v>1.2012012012012012E-2</v>
      </c>
      <c r="C32" s="11">
        <v>3330</v>
      </c>
      <c r="D32">
        <v>2019</v>
      </c>
    </row>
    <row r="33" spans="1:4" x14ac:dyDescent="0.3">
      <c r="A33" t="s">
        <v>238</v>
      </c>
      <c r="B33" s="34">
        <v>2.1052631578947368E-2</v>
      </c>
      <c r="C33" s="8">
        <v>95</v>
      </c>
      <c r="D33">
        <v>2019</v>
      </c>
    </row>
    <row r="34" spans="1:4" x14ac:dyDescent="0.3">
      <c r="A34" t="s">
        <v>239</v>
      </c>
      <c r="B34" s="34">
        <v>1.3059447694191267E-2</v>
      </c>
      <c r="C34" s="11">
        <v>7351</v>
      </c>
      <c r="D34">
        <v>2019</v>
      </c>
    </row>
    <row r="35" spans="1:4" x14ac:dyDescent="0.3">
      <c r="A35" t="s">
        <v>240</v>
      </c>
      <c r="B35" s="34">
        <v>4.1594454072790298E-2</v>
      </c>
      <c r="C35" s="8">
        <v>577</v>
      </c>
      <c r="D35">
        <v>2019</v>
      </c>
    </row>
    <row r="36" spans="1:4" x14ac:dyDescent="0.3">
      <c r="A36" t="s">
        <v>241</v>
      </c>
      <c r="B36" s="34">
        <v>5.3353658536585365E-2</v>
      </c>
      <c r="C36" s="8">
        <v>656</v>
      </c>
      <c r="D36">
        <v>2019</v>
      </c>
    </row>
    <row r="37" spans="1:4" x14ac:dyDescent="0.3">
      <c r="A37" t="s">
        <v>242</v>
      </c>
      <c r="B37" s="34">
        <v>8.4048027444253853E-2</v>
      </c>
      <c r="C37" s="8">
        <v>583</v>
      </c>
      <c r="D37">
        <v>2019</v>
      </c>
    </row>
    <row r="38" spans="1:4" x14ac:dyDescent="0.3">
      <c r="A38" t="s">
        <v>243</v>
      </c>
      <c r="B38" s="34">
        <v>5.2380952380952382E-2</v>
      </c>
      <c r="C38" s="8">
        <v>210</v>
      </c>
      <c r="D38">
        <v>2019</v>
      </c>
    </row>
    <row r="39" spans="1:4" x14ac:dyDescent="0.3">
      <c r="A39" t="s">
        <v>244</v>
      </c>
      <c r="B39" s="34">
        <v>1.6511867905056758E-2</v>
      </c>
      <c r="C39" s="8">
        <v>969</v>
      </c>
      <c r="D39">
        <v>2019</v>
      </c>
    </row>
    <row r="40" spans="1:4" x14ac:dyDescent="0.3">
      <c r="A40" t="s">
        <v>245</v>
      </c>
      <c r="B40" s="34">
        <v>1.3157894736842105E-2</v>
      </c>
      <c r="C40" s="8">
        <v>152</v>
      </c>
      <c r="D40">
        <v>2019</v>
      </c>
    </row>
    <row r="41" spans="1:4" x14ac:dyDescent="0.3">
      <c r="A41" t="s">
        <v>246</v>
      </c>
      <c r="B41" s="34">
        <v>1.4150943396226415E-2</v>
      </c>
      <c r="C41" s="13">
        <v>212</v>
      </c>
      <c r="D41">
        <v>2019</v>
      </c>
    </row>
    <row r="42" spans="1:4" x14ac:dyDescent="0.3">
      <c r="A42" t="s">
        <v>247</v>
      </c>
      <c r="B42" s="34">
        <v>0</v>
      </c>
      <c r="C42" s="4">
        <v>93</v>
      </c>
      <c r="D42">
        <v>2019</v>
      </c>
    </row>
    <row r="43" spans="1:4" x14ac:dyDescent="0.3">
      <c r="A43" t="s">
        <v>248</v>
      </c>
      <c r="B43" s="34">
        <v>1.3192612137203167E-2</v>
      </c>
      <c r="C43" s="8">
        <v>379</v>
      </c>
      <c r="D43">
        <v>2019</v>
      </c>
    </row>
    <row r="44" spans="1:4" x14ac:dyDescent="0.3">
      <c r="A44" t="s">
        <v>249</v>
      </c>
      <c r="B44" s="34">
        <v>1.7482517482517484E-2</v>
      </c>
      <c r="C44" s="8">
        <v>286</v>
      </c>
      <c r="D44">
        <v>2019</v>
      </c>
    </row>
    <row r="45" spans="1:4" x14ac:dyDescent="0.3">
      <c r="A45" t="s">
        <v>250</v>
      </c>
      <c r="B45" s="34">
        <v>1.4983644613274243E-2</v>
      </c>
      <c r="C45" s="11">
        <v>9477</v>
      </c>
      <c r="D45">
        <v>2019</v>
      </c>
    </row>
    <row r="46" spans="1:4" x14ac:dyDescent="0.3">
      <c r="A46" t="s">
        <v>251</v>
      </c>
      <c r="B46" s="34">
        <v>2.6865671641791045E-2</v>
      </c>
      <c r="C46" s="8">
        <v>335</v>
      </c>
      <c r="D46">
        <v>2019</v>
      </c>
    </row>
    <row r="47" spans="1:4" x14ac:dyDescent="0.3">
      <c r="A47" t="s">
        <v>252</v>
      </c>
      <c r="B47" s="34">
        <v>6.3157894736842107E-2</v>
      </c>
      <c r="C47" s="8">
        <v>95</v>
      </c>
      <c r="D47">
        <v>2019</v>
      </c>
    </row>
    <row r="48" spans="1:4" x14ac:dyDescent="0.3">
      <c r="A48" t="s">
        <v>253</v>
      </c>
      <c r="B48" s="34">
        <v>2.6666666666666668E-2</v>
      </c>
      <c r="C48" s="11">
        <v>1200</v>
      </c>
      <c r="D48">
        <v>2019</v>
      </c>
    </row>
    <row r="49" spans="1:4" x14ac:dyDescent="0.3">
      <c r="A49" t="s">
        <v>254</v>
      </c>
      <c r="B49" s="34">
        <v>8.8719898605830166E-3</v>
      </c>
      <c r="C49" s="11">
        <v>1578</v>
      </c>
      <c r="D49">
        <v>2019</v>
      </c>
    </row>
    <row r="50" spans="1:4" x14ac:dyDescent="0.3">
      <c r="A50" t="s">
        <v>255</v>
      </c>
      <c r="B50" s="34">
        <v>0</v>
      </c>
      <c r="C50" s="8">
        <v>39</v>
      </c>
      <c r="D50">
        <v>2019</v>
      </c>
    </row>
    <row r="51" spans="1:4" x14ac:dyDescent="0.3">
      <c r="A51" t="s">
        <v>256</v>
      </c>
      <c r="B51" s="34">
        <v>3.8461538461538464E-2</v>
      </c>
      <c r="C51" s="8">
        <v>26</v>
      </c>
      <c r="D51">
        <v>2019</v>
      </c>
    </row>
    <row r="52" spans="1:4" x14ac:dyDescent="0.3">
      <c r="A52" t="s">
        <v>257</v>
      </c>
      <c r="B52" s="34">
        <v>1.2477718360071301E-2</v>
      </c>
      <c r="C52" s="8">
        <v>561</v>
      </c>
      <c r="D52">
        <v>2019</v>
      </c>
    </row>
    <row r="53" spans="1:4" x14ac:dyDescent="0.3">
      <c r="A53" t="s">
        <v>258</v>
      </c>
      <c r="B53" s="34">
        <v>1.5267175572519083E-2</v>
      </c>
      <c r="C53" s="8">
        <v>393</v>
      </c>
      <c r="D53">
        <v>2019</v>
      </c>
    </row>
    <row r="54" spans="1:4" x14ac:dyDescent="0.3">
      <c r="A54" t="s">
        <v>259</v>
      </c>
      <c r="B54" s="34">
        <v>3.0434782608695653E-2</v>
      </c>
      <c r="C54" s="8">
        <v>230</v>
      </c>
      <c r="D54">
        <v>2019</v>
      </c>
    </row>
    <row r="55" spans="1:4" x14ac:dyDescent="0.3">
      <c r="A55" t="s">
        <v>260</v>
      </c>
      <c r="B55" s="34">
        <v>6.1111111111111109E-2</v>
      </c>
      <c r="C55" s="8">
        <v>180</v>
      </c>
      <c r="D55">
        <v>2019</v>
      </c>
    </row>
    <row r="56" spans="1:4" x14ac:dyDescent="0.3">
      <c r="A56" t="s">
        <v>261</v>
      </c>
      <c r="B56" s="34">
        <v>1.0752688172043012E-2</v>
      </c>
      <c r="C56" s="8">
        <v>372</v>
      </c>
      <c r="D56">
        <v>2019</v>
      </c>
    </row>
    <row r="57" spans="1:4" x14ac:dyDescent="0.3">
      <c r="A57" t="s">
        <v>262</v>
      </c>
      <c r="B57" s="34">
        <v>2.0869565217391306E-2</v>
      </c>
      <c r="C57" s="8">
        <v>575</v>
      </c>
      <c r="D57">
        <v>2019</v>
      </c>
    </row>
    <row r="58" spans="1:4" x14ac:dyDescent="0.3">
      <c r="A58" t="s">
        <v>263</v>
      </c>
      <c r="B58" s="34">
        <v>2.2361359570661897E-2</v>
      </c>
      <c r="C58" s="11">
        <v>1118</v>
      </c>
      <c r="D58">
        <v>2019</v>
      </c>
    </row>
    <row r="59" spans="1:4" x14ac:dyDescent="0.3">
      <c r="A59" t="s">
        <v>264</v>
      </c>
      <c r="B59" s="34">
        <v>1.2185833968012186E-2</v>
      </c>
      <c r="C59" s="11">
        <v>1313</v>
      </c>
      <c r="D59">
        <v>2019</v>
      </c>
    </row>
    <row r="60" spans="1:4" x14ac:dyDescent="0.3">
      <c r="A60" t="s">
        <v>265</v>
      </c>
      <c r="B60" s="34">
        <v>1.6317016317016316E-2</v>
      </c>
      <c r="C60" s="8">
        <v>429</v>
      </c>
      <c r="D60">
        <v>2019</v>
      </c>
    </row>
    <row r="61" spans="1:4" x14ac:dyDescent="0.3">
      <c r="A61" t="s">
        <v>266</v>
      </c>
      <c r="B61" s="34">
        <v>1.3372956909361069E-2</v>
      </c>
      <c r="C61" s="11">
        <v>8749</v>
      </c>
      <c r="D61">
        <v>2019</v>
      </c>
    </row>
    <row r="62" spans="1:4" x14ac:dyDescent="0.3">
      <c r="A62" t="s">
        <v>267</v>
      </c>
      <c r="B62" s="34">
        <v>5.9701492537313433E-3</v>
      </c>
      <c r="C62" s="8">
        <v>335</v>
      </c>
      <c r="D62">
        <v>2019</v>
      </c>
    </row>
    <row r="63" spans="1:4" x14ac:dyDescent="0.3">
      <c r="A63" t="s">
        <v>268</v>
      </c>
      <c r="B63" s="34">
        <v>0.1111111111111111</v>
      </c>
      <c r="C63" s="8">
        <v>9</v>
      </c>
      <c r="D63">
        <v>2019</v>
      </c>
    </row>
    <row r="64" spans="1:4" x14ac:dyDescent="0.3">
      <c r="A64" t="s">
        <v>269</v>
      </c>
      <c r="B64" s="34">
        <v>2.6690391459074734E-2</v>
      </c>
      <c r="C64" s="8">
        <v>562</v>
      </c>
      <c r="D64">
        <v>2019</v>
      </c>
    </row>
    <row r="65" spans="1:4" x14ac:dyDescent="0.3">
      <c r="A65" t="s">
        <v>270</v>
      </c>
      <c r="B65" s="34">
        <v>2.2049286640726331E-2</v>
      </c>
      <c r="C65" s="8">
        <v>771</v>
      </c>
      <c r="D65">
        <v>2019</v>
      </c>
    </row>
    <row r="66" spans="1:4" x14ac:dyDescent="0.3">
      <c r="A66" t="s">
        <v>271</v>
      </c>
      <c r="B66" s="34">
        <v>1.5053763440860216E-2</v>
      </c>
      <c r="C66" s="8">
        <v>465</v>
      </c>
      <c r="D66">
        <v>2019</v>
      </c>
    </row>
    <row r="67" spans="1:4" x14ac:dyDescent="0.3">
      <c r="A67" t="s">
        <v>272</v>
      </c>
      <c r="B67" s="34">
        <v>2.3809523809523808E-2</v>
      </c>
      <c r="C67" s="8">
        <v>210</v>
      </c>
      <c r="D67">
        <v>2019</v>
      </c>
    </row>
    <row r="68" spans="1:4" x14ac:dyDescent="0.3">
      <c r="A68" t="s">
        <v>273</v>
      </c>
      <c r="B68" s="34">
        <v>1.1642283123840923E-2</v>
      </c>
      <c r="C68" s="11">
        <v>9706</v>
      </c>
      <c r="D68">
        <v>2019</v>
      </c>
    </row>
    <row r="69" spans="1:4" x14ac:dyDescent="0.3">
      <c r="A69" t="s">
        <v>274</v>
      </c>
      <c r="B69" s="34">
        <v>8.2758620689655175E-3</v>
      </c>
      <c r="C69" s="8">
        <v>725</v>
      </c>
      <c r="D69">
        <v>2019</v>
      </c>
    </row>
    <row r="70" spans="1:4" x14ac:dyDescent="0.3">
      <c r="A70" t="s">
        <v>275</v>
      </c>
      <c r="B70" s="34">
        <v>9.5104895104895105E-3</v>
      </c>
      <c r="C70" s="11">
        <v>3575</v>
      </c>
      <c r="D70">
        <v>2019</v>
      </c>
    </row>
    <row r="71" spans="1:4" x14ac:dyDescent="0.3">
      <c r="A71" t="s">
        <v>276</v>
      </c>
      <c r="B71" s="34">
        <v>2.3255813953488372E-2</v>
      </c>
      <c r="C71" s="8">
        <v>129</v>
      </c>
      <c r="D71">
        <v>2019</v>
      </c>
    </row>
    <row r="72" spans="1:4" x14ac:dyDescent="0.3">
      <c r="A72" t="s">
        <v>277</v>
      </c>
      <c r="B72" s="34">
        <v>0</v>
      </c>
      <c r="C72" s="8">
        <v>333</v>
      </c>
      <c r="D72">
        <v>2019</v>
      </c>
    </row>
    <row r="73" spans="1:4" x14ac:dyDescent="0.3">
      <c r="A73" t="s">
        <v>278</v>
      </c>
      <c r="B73" s="34">
        <v>4.5662100456621002E-3</v>
      </c>
      <c r="C73" s="8">
        <v>219</v>
      </c>
      <c r="D73">
        <v>2019</v>
      </c>
    </row>
    <row r="74" spans="1:4" x14ac:dyDescent="0.3">
      <c r="A74" t="s">
        <v>279</v>
      </c>
      <c r="B74" s="34">
        <v>3.0821917808219176E-2</v>
      </c>
      <c r="C74" s="8">
        <v>292</v>
      </c>
      <c r="D74">
        <v>2019</v>
      </c>
    </row>
    <row r="75" spans="1:4" x14ac:dyDescent="0.3">
      <c r="A75" t="s">
        <v>280</v>
      </c>
      <c r="B75" s="34">
        <v>0</v>
      </c>
      <c r="C75" s="8">
        <v>103</v>
      </c>
      <c r="D75">
        <v>2019</v>
      </c>
    </row>
    <row r="76" spans="1:4" x14ac:dyDescent="0.3">
      <c r="A76" t="s">
        <v>281</v>
      </c>
      <c r="B76" s="34">
        <v>1.1204481792717087E-2</v>
      </c>
      <c r="C76" s="11">
        <v>2142</v>
      </c>
      <c r="D76">
        <v>2019</v>
      </c>
    </row>
    <row r="77" spans="1:4" x14ac:dyDescent="0.3">
      <c r="A77" t="s">
        <v>282</v>
      </c>
      <c r="B77" s="34">
        <v>1.8843404808317088E-2</v>
      </c>
      <c r="C77" s="11">
        <v>1539</v>
      </c>
      <c r="D77">
        <v>2019</v>
      </c>
    </row>
    <row r="78" spans="1:4" x14ac:dyDescent="0.3">
      <c r="A78" t="s">
        <v>283</v>
      </c>
      <c r="B78" s="34">
        <v>2.1621621621621623E-2</v>
      </c>
      <c r="C78" s="8">
        <v>185</v>
      </c>
      <c r="D78">
        <v>2019</v>
      </c>
    </row>
    <row r="79" spans="1:4" x14ac:dyDescent="0.3">
      <c r="A79" t="s">
        <v>284</v>
      </c>
      <c r="B79" s="34">
        <v>1.4031805425631431E-2</v>
      </c>
      <c r="C79" s="11">
        <v>1069</v>
      </c>
      <c r="D79">
        <v>2019</v>
      </c>
    </row>
    <row r="80" spans="1:4" x14ac:dyDescent="0.3">
      <c r="A80" t="s">
        <v>285</v>
      </c>
      <c r="B80" s="34">
        <v>1.8749999999999999E-2</v>
      </c>
      <c r="C80" s="8">
        <v>160</v>
      </c>
      <c r="D80">
        <v>2019</v>
      </c>
    </row>
    <row r="81" spans="1:4" x14ac:dyDescent="0.3">
      <c r="A81" t="s">
        <v>286</v>
      </c>
      <c r="B81" s="34">
        <v>0</v>
      </c>
      <c r="C81" s="13">
        <v>116</v>
      </c>
      <c r="D81">
        <v>2019</v>
      </c>
    </row>
    <row r="82" spans="1:4" x14ac:dyDescent="0.3">
      <c r="A82" t="s">
        <v>287</v>
      </c>
      <c r="B82" s="34">
        <v>0.04</v>
      </c>
      <c r="C82" s="4">
        <v>100</v>
      </c>
      <c r="D82">
        <v>2019</v>
      </c>
    </row>
    <row r="83" spans="1:4" x14ac:dyDescent="0.3">
      <c r="A83" t="s">
        <v>288</v>
      </c>
      <c r="B83" s="34">
        <v>1.4285714285714285E-2</v>
      </c>
      <c r="C83" s="8">
        <v>140</v>
      </c>
      <c r="D83">
        <v>2019</v>
      </c>
    </row>
    <row r="84" spans="1:4" x14ac:dyDescent="0.3">
      <c r="A84" t="s">
        <v>289</v>
      </c>
      <c r="B84" s="34">
        <v>3.8167938931297711E-2</v>
      </c>
      <c r="C84" s="8">
        <v>131</v>
      </c>
      <c r="D84">
        <v>2019</v>
      </c>
    </row>
    <row r="85" spans="1:4" x14ac:dyDescent="0.3">
      <c r="A85" t="s">
        <v>290</v>
      </c>
      <c r="B85" s="34">
        <v>1.9512195121951219E-2</v>
      </c>
      <c r="C85" s="8">
        <v>205</v>
      </c>
      <c r="D85">
        <v>2019</v>
      </c>
    </row>
    <row r="86" spans="1:4" x14ac:dyDescent="0.3">
      <c r="A86" t="s">
        <v>291</v>
      </c>
      <c r="B86" s="34">
        <v>3.9525691699604744E-2</v>
      </c>
      <c r="C86" s="8">
        <v>253</v>
      </c>
      <c r="D86">
        <v>2019</v>
      </c>
    </row>
    <row r="87" spans="1:4" x14ac:dyDescent="0.3">
      <c r="A87" t="s">
        <v>292</v>
      </c>
      <c r="B87" s="34">
        <v>6.7961165048543687E-2</v>
      </c>
      <c r="C87" s="8">
        <v>103</v>
      </c>
      <c r="D87">
        <v>2019</v>
      </c>
    </row>
    <row r="88" spans="1:4" x14ac:dyDescent="0.3">
      <c r="A88" t="s">
        <v>293</v>
      </c>
      <c r="B88" s="34">
        <v>3.3548387096774192E-2</v>
      </c>
      <c r="C88" s="8">
        <v>775</v>
      </c>
      <c r="D88">
        <v>2019</v>
      </c>
    </row>
    <row r="89" spans="1:4" x14ac:dyDescent="0.3">
      <c r="A89" t="s">
        <v>294</v>
      </c>
      <c r="B89" s="34">
        <v>1.6339869281045753E-2</v>
      </c>
      <c r="C89" s="8">
        <v>306</v>
      </c>
      <c r="D89">
        <v>2019</v>
      </c>
    </row>
    <row r="90" spans="1:4" x14ac:dyDescent="0.3">
      <c r="A90" t="s">
        <v>295</v>
      </c>
      <c r="B90" s="34">
        <v>7.0011668611435242E-3</v>
      </c>
      <c r="C90" s="8">
        <v>857</v>
      </c>
      <c r="D90">
        <v>2019</v>
      </c>
    </row>
    <row r="91" spans="1:4" x14ac:dyDescent="0.3">
      <c r="A91" t="s">
        <v>296</v>
      </c>
      <c r="B91" s="34">
        <v>3.4482758620689655E-2</v>
      </c>
      <c r="C91" s="8">
        <v>29</v>
      </c>
      <c r="D91">
        <v>2019</v>
      </c>
    </row>
    <row r="92" spans="1:4" x14ac:dyDescent="0.3">
      <c r="A92" t="s">
        <v>297</v>
      </c>
      <c r="B92" s="34">
        <v>1.4150943396226415E-2</v>
      </c>
      <c r="C92" s="8">
        <v>212</v>
      </c>
      <c r="D92">
        <v>2019</v>
      </c>
    </row>
    <row r="93" spans="1:4" x14ac:dyDescent="0.3">
      <c r="A93" t="s">
        <v>298</v>
      </c>
      <c r="B93" s="34">
        <v>4.1269841269841269E-2</v>
      </c>
      <c r="C93" s="11">
        <v>2205</v>
      </c>
      <c r="D93">
        <v>2019</v>
      </c>
    </row>
    <row r="94" spans="1:4" x14ac:dyDescent="0.3">
      <c r="A94" t="s">
        <v>299</v>
      </c>
      <c r="B94" s="34">
        <v>7.3529411764705881E-3</v>
      </c>
      <c r="C94" s="8">
        <v>272</v>
      </c>
      <c r="D94">
        <v>2019</v>
      </c>
    </row>
    <row r="95" spans="1:4" x14ac:dyDescent="0.3">
      <c r="A95" t="s">
        <v>300</v>
      </c>
      <c r="B95" s="34">
        <v>6.2146892655367235E-2</v>
      </c>
      <c r="C95" s="8">
        <v>177</v>
      </c>
      <c r="D95">
        <v>2019</v>
      </c>
    </row>
    <row r="96" spans="1:4" x14ac:dyDescent="0.3">
      <c r="A96" t="s">
        <v>301</v>
      </c>
      <c r="B96" s="34">
        <v>2.6966292134831461E-2</v>
      </c>
      <c r="C96" s="8">
        <v>445</v>
      </c>
      <c r="D96">
        <v>2019</v>
      </c>
    </row>
    <row r="97" spans="1:4" x14ac:dyDescent="0.3">
      <c r="A97" t="s">
        <v>302</v>
      </c>
      <c r="B97" s="34">
        <v>9.5238095238095233E-2</v>
      </c>
      <c r="C97" s="8">
        <v>84</v>
      </c>
      <c r="D97">
        <v>2019</v>
      </c>
    </row>
    <row r="98" spans="1:4" x14ac:dyDescent="0.3">
      <c r="A98" t="s">
        <v>303</v>
      </c>
      <c r="B98" s="34">
        <v>0.14492753623188406</v>
      </c>
      <c r="C98" s="8">
        <v>69</v>
      </c>
      <c r="D98">
        <v>2019</v>
      </c>
    </row>
    <row r="99" spans="1:4" x14ac:dyDescent="0.3">
      <c r="A99" t="s">
        <v>304</v>
      </c>
      <c r="B99" s="34">
        <v>5.4794520547945202E-2</v>
      </c>
      <c r="C99" s="8">
        <v>73</v>
      </c>
      <c r="D99">
        <v>2019</v>
      </c>
    </row>
    <row r="100" spans="1:4" x14ac:dyDescent="0.3">
      <c r="A100" t="s">
        <v>305</v>
      </c>
      <c r="B100" s="34">
        <v>3.0303030303030304E-2</v>
      </c>
      <c r="C100" s="8">
        <v>231</v>
      </c>
      <c r="D100">
        <v>2019</v>
      </c>
    </row>
    <row r="101" spans="1:4" x14ac:dyDescent="0.3">
      <c r="A101" t="s">
        <v>306</v>
      </c>
      <c r="B101" s="34">
        <v>2.7777777777777776E-2</v>
      </c>
      <c r="C101" s="8">
        <v>36</v>
      </c>
      <c r="D101">
        <v>2019</v>
      </c>
    </row>
    <row r="102" spans="1:4" x14ac:dyDescent="0.3">
      <c r="A102" t="s">
        <v>307</v>
      </c>
      <c r="B102" s="34">
        <v>2.3316062176165803E-2</v>
      </c>
      <c r="C102" s="8">
        <v>386</v>
      </c>
      <c r="D102">
        <v>2019</v>
      </c>
    </row>
    <row r="103" spans="1:4" x14ac:dyDescent="0.3">
      <c r="A103" t="s">
        <v>308</v>
      </c>
      <c r="B103" s="34">
        <v>1.6949152542372881E-2</v>
      </c>
      <c r="C103" s="8">
        <v>295</v>
      </c>
      <c r="D103">
        <v>2019</v>
      </c>
    </row>
    <row r="104" spans="1:4" x14ac:dyDescent="0.3">
      <c r="A104" t="s">
        <v>309</v>
      </c>
      <c r="B104" s="34">
        <v>2.5974025974025976E-2</v>
      </c>
      <c r="C104" s="8">
        <v>77</v>
      </c>
      <c r="D104">
        <v>2019</v>
      </c>
    </row>
    <row r="105" spans="1:4" x14ac:dyDescent="0.3">
      <c r="A105" t="s">
        <v>310</v>
      </c>
      <c r="B105" s="34">
        <v>1.1627906976744186E-2</v>
      </c>
      <c r="C105" s="8">
        <v>258</v>
      </c>
      <c r="D105">
        <v>2019</v>
      </c>
    </row>
    <row r="106" spans="1:4" x14ac:dyDescent="0.3">
      <c r="A106" t="s">
        <v>311</v>
      </c>
      <c r="B106" s="34">
        <v>2.2784810126582278E-2</v>
      </c>
      <c r="C106" s="8">
        <v>790</v>
      </c>
      <c r="D106">
        <v>2019</v>
      </c>
    </row>
    <row r="107" spans="1:4" x14ac:dyDescent="0.3">
      <c r="A107" t="s">
        <v>312</v>
      </c>
      <c r="B107" s="34">
        <v>1.5952455426962778E-2</v>
      </c>
      <c r="C107" s="11">
        <v>3197</v>
      </c>
      <c r="D107">
        <v>2019</v>
      </c>
    </row>
    <row r="108" spans="1:4" x14ac:dyDescent="0.3">
      <c r="A108" t="s">
        <v>313</v>
      </c>
      <c r="B108" s="34">
        <v>1.7146356399265157E-2</v>
      </c>
      <c r="C108" s="11">
        <v>1633</v>
      </c>
      <c r="D108">
        <v>2019</v>
      </c>
    </row>
    <row r="109" spans="1:4" x14ac:dyDescent="0.3">
      <c r="A109" t="s">
        <v>314</v>
      </c>
      <c r="B109" s="34">
        <v>8.0971659919028341E-3</v>
      </c>
      <c r="C109" s="8">
        <v>247</v>
      </c>
      <c r="D109">
        <v>2019</v>
      </c>
    </row>
    <row r="110" spans="1:4" x14ac:dyDescent="0.3">
      <c r="A110" t="s">
        <v>315</v>
      </c>
      <c r="B110" s="34">
        <v>0</v>
      </c>
      <c r="C110" s="8">
        <v>90</v>
      </c>
      <c r="D110">
        <v>2019</v>
      </c>
    </row>
    <row r="111" spans="1:4" x14ac:dyDescent="0.3">
      <c r="A111" t="s">
        <v>316</v>
      </c>
      <c r="B111" s="34">
        <v>1.2558869701726845E-2</v>
      </c>
      <c r="C111" s="11">
        <v>1274</v>
      </c>
      <c r="D111">
        <v>2019</v>
      </c>
    </row>
    <row r="112" spans="1:4" x14ac:dyDescent="0.3">
      <c r="A112" t="s">
        <v>317</v>
      </c>
      <c r="B112" s="34">
        <v>2.4830699774266364E-2</v>
      </c>
      <c r="C112" s="8">
        <v>443</v>
      </c>
      <c r="D112">
        <v>2019</v>
      </c>
    </row>
    <row r="113" spans="1:4" x14ac:dyDescent="0.3">
      <c r="A113" t="s">
        <v>318</v>
      </c>
      <c r="B113" s="34">
        <v>0</v>
      </c>
      <c r="C113" s="8">
        <v>239</v>
      </c>
      <c r="D113">
        <v>2019</v>
      </c>
    </row>
    <row r="114" spans="1:4" x14ac:dyDescent="0.3">
      <c r="A114" t="s">
        <v>319</v>
      </c>
      <c r="B114" s="34">
        <v>0</v>
      </c>
      <c r="C114" s="8">
        <v>353</v>
      </c>
      <c r="D114">
        <v>2019</v>
      </c>
    </row>
    <row r="115" spans="1:4" x14ac:dyDescent="0.3">
      <c r="A115" t="s">
        <v>320</v>
      </c>
      <c r="B115" s="34">
        <v>7.1748878923766815E-2</v>
      </c>
      <c r="C115" s="8">
        <v>223</v>
      </c>
      <c r="D115">
        <v>2019</v>
      </c>
    </row>
    <row r="116" spans="1:4" x14ac:dyDescent="0.3">
      <c r="A116" t="s">
        <v>321</v>
      </c>
      <c r="B116" s="34">
        <v>7.9207920792079209E-3</v>
      </c>
      <c r="C116" s="8">
        <v>505</v>
      </c>
      <c r="D116">
        <v>2019</v>
      </c>
    </row>
    <row r="117" spans="1:4" x14ac:dyDescent="0.3">
      <c r="A117" t="s">
        <v>322</v>
      </c>
      <c r="B117" s="34">
        <v>4.3478260869565216E-2</v>
      </c>
      <c r="C117" s="8">
        <v>115</v>
      </c>
      <c r="D117">
        <v>2019</v>
      </c>
    </row>
    <row r="118" spans="1:4" x14ac:dyDescent="0.3">
      <c r="A118" t="s">
        <v>323</v>
      </c>
      <c r="B118" s="34">
        <v>1.7361111111111112E-2</v>
      </c>
      <c r="C118" s="8">
        <v>288</v>
      </c>
      <c r="D118">
        <v>2019</v>
      </c>
    </row>
    <row r="119" spans="1:4" x14ac:dyDescent="0.3">
      <c r="A119" t="s">
        <v>324</v>
      </c>
      <c r="B119" s="34">
        <v>3.4482758620689655E-2</v>
      </c>
      <c r="C119" s="8">
        <v>29</v>
      </c>
      <c r="D119">
        <v>2019</v>
      </c>
    </row>
    <row r="120" spans="1:4" x14ac:dyDescent="0.3">
      <c r="A120" t="s">
        <v>325</v>
      </c>
      <c r="B120" s="34">
        <v>2.2222222222222223E-2</v>
      </c>
      <c r="C120" s="8">
        <v>135</v>
      </c>
      <c r="D120">
        <v>2019</v>
      </c>
    </row>
    <row r="121" spans="1:4" x14ac:dyDescent="0.3">
      <c r="A121" t="s">
        <v>326</v>
      </c>
      <c r="B121" s="34">
        <v>5.4945054945054944E-2</v>
      </c>
      <c r="C121" s="13">
        <v>91</v>
      </c>
      <c r="D121">
        <v>2019</v>
      </c>
    </row>
    <row r="122" spans="1:4" x14ac:dyDescent="0.3">
      <c r="A122" t="s">
        <v>327</v>
      </c>
      <c r="B122" s="34">
        <v>0.1228719467061436</v>
      </c>
      <c r="C122" s="16">
        <v>1351</v>
      </c>
      <c r="D122">
        <v>2019</v>
      </c>
    </row>
    <row r="123" spans="1:4" x14ac:dyDescent="0.3">
      <c r="A123" t="s">
        <v>328</v>
      </c>
      <c r="B123" s="34">
        <v>1.3295346628679962E-2</v>
      </c>
      <c r="C123" s="11">
        <v>1053</v>
      </c>
      <c r="D123">
        <v>2019</v>
      </c>
    </row>
    <row r="124" spans="1:4" x14ac:dyDescent="0.3">
      <c r="A124" t="s">
        <v>329</v>
      </c>
      <c r="B124" s="34">
        <v>7.5471698113207544E-2</v>
      </c>
      <c r="C124" s="8">
        <v>53</v>
      </c>
      <c r="D124">
        <v>2019</v>
      </c>
    </row>
    <row r="125" spans="1:4" x14ac:dyDescent="0.3">
      <c r="A125" t="s">
        <v>330</v>
      </c>
      <c r="B125" s="34">
        <v>4.6263345195729534E-2</v>
      </c>
      <c r="C125" s="8">
        <v>281</v>
      </c>
      <c r="D125">
        <v>2019</v>
      </c>
    </row>
    <row r="126" spans="1:4" x14ac:dyDescent="0.3">
      <c r="A126" t="s">
        <v>331</v>
      </c>
      <c r="B126" s="34">
        <v>4.4444444444444446E-2</v>
      </c>
      <c r="C126" s="8">
        <v>45</v>
      </c>
      <c r="D126">
        <v>2019</v>
      </c>
    </row>
    <row r="127" spans="1:4" x14ac:dyDescent="0.3">
      <c r="A127" t="s">
        <v>332</v>
      </c>
      <c r="B127" s="34">
        <v>6.4090480678605094E-2</v>
      </c>
      <c r="C127" s="11">
        <v>1061</v>
      </c>
      <c r="D127">
        <v>2019</v>
      </c>
    </row>
    <row r="128" spans="1:4" x14ac:dyDescent="0.3">
      <c r="A128" t="s">
        <v>333</v>
      </c>
      <c r="B128" s="34">
        <v>8.8028169014084511E-3</v>
      </c>
      <c r="C128" s="8">
        <v>568</v>
      </c>
      <c r="D128">
        <v>2019</v>
      </c>
    </row>
    <row r="129" spans="1:4" x14ac:dyDescent="0.3">
      <c r="A129" t="s">
        <v>334</v>
      </c>
      <c r="B129" s="34">
        <v>0.11428571428571428</v>
      </c>
      <c r="C129" s="8">
        <v>35</v>
      </c>
      <c r="D129">
        <v>2019</v>
      </c>
    </row>
    <row r="130" spans="1:4" x14ac:dyDescent="0.3">
      <c r="A130" t="s">
        <v>335</v>
      </c>
      <c r="B130" s="34">
        <v>5.8823529411764705E-2</v>
      </c>
      <c r="C130" s="8">
        <v>391</v>
      </c>
      <c r="D130">
        <v>2019</v>
      </c>
    </row>
    <row r="131" spans="1:4" x14ac:dyDescent="0.3">
      <c r="A131" t="s">
        <v>336</v>
      </c>
      <c r="B131" s="34">
        <v>0</v>
      </c>
      <c r="C131" s="8">
        <v>69</v>
      </c>
      <c r="D131">
        <v>2019</v>
      </c>
    </row>
    <row r="132" spans="1:4" x14ac:dyDescent="0.3">
      <c r="A132" t="s">
        <v>337</v>
      </c>
      <c r="B132" s="34">
        <v>7.6923076923076927E-2</v>
      </c>
      <c r="C132" s="8">
        <v>13</v>
      </c>
      <c r="D132">
        <v>2019</v>
      </c>
    </row>
    <row r="133" spans="1:4" x14ac:dyDescent="0.3">
      <c r="A133" t="s">
        <v>338</v>
      </c>
      <c r="B133" s="34">
        <v>1.5432098765432098E-2</v>
      </c>
      <c r="C133" s="8">
        <v>324</v>
      </c>
      <c r="D133">
        <v>2019</v>
      </c>
    </row>
    <row r="134" spans="1:4" x14ac:dyDescent="0.3">
      <c r="A134" t="s">
        <v>339</v>
      </c>
      <c r="B134" s="34">
        <v>2.3529411764705882E-2</v>
      </c>
      <c r="C134" s="8">
        <v>85</v>
      </c>
      <c r="D134">
        <v>2019</v>
      </c>
    </row>
    <row r="135" spans="1:4" x14ac:dyDescent="0.3">
      <c r="A135" t="s">
        <v>340</v>
      </c>
      <c r="B135" s="34">
        <v>1.2931034482758621E-2</v>
      </c>
      <c r="C135" s="8">
        <v>232</v>
      </c>
      <c r="D135">
        <v>2019</v>
      </c>
    </row>
    <row r="136" spans="1:4" x14ac:dyDescent="0.3">
      <c r="A136" t="s">
        <v>341</v>
      </c>
      <c r="B136" s="34">
        <v>0.10280373831775701</v>
      </c>
      <c r="C136" s="8">
        <v>107</v>
      </c>
      <c r="D136">
        <v>2019</v>
      </c>
    </row>
    <row r="137" spans="1:4" x14ac:dyDescent="0.3">
      <c r="A137" t="s">
        <v>342</v>
      </c>
      <c r="B137" s="34">
        <v>1.9067796610169493E-2</v>
      </c>
      <c r="C137" s="8">
        <v>944</v>
      </c>
      <c r="D137">
        <v>2019</v>
      </c>
    </row>
    <row r="138" spans="1:4" x14ac:dyDescent="0.3">
      <c r="A138" t="s">
        <v>343</v>
      </c>
      <c r="B138" s="34">
        <v>6.3461538461538458E-2</v>
      </c>
      <c r="C138" s="8">
        <v>520</v>
      </c>
      <c r="D138">
        <v>2019</v>
      </c>
    </row>
    <row r="139" spans="1:4" x14ac:dyDescent="0.3">
      <c r="A139" t="s">
        <v>344</v>
      </c>
      <c r="B139" s="34">
        <v>3.2000000000000001E-2</v>
      </c>
      <c r="C139" s="8">
        <v>250</v>
      </c>
      <c r="D139">
        <v>2019</v>
      </c>
    </row>
    <row r="140" spans="1:4" x14ac:dyDescent="0.3">
      <c r="A140" t="s">
        <v>345</v>
      </c>
      <c r="B140" s="34">
        <v>7.7519379844961239E-3</v>
      </c>
      <c r="C140" s="8">
        <v>129</v>
      </c>
      <c r="D140">
        <v>2019</v>
      </c>
    </row>
    <row r="141" spans="1:4" x14ac:dyDescent="0.3">
      <c r="A141" t="s">
        <v>346</v>
      </c>
      <c r="B141" s="34">
        <v>3.2258064516129031E-2</v>
      </c>
      <c r="C141" s="8">
        <v>62</v>
      </c>
      <c r="D141">
        <v>2019</v>
      </c>
    </row>
    <row r="142" spans="1:4" x14ac:dyDescent="0.3">
      <c r="A142" t="s">
        <v>347</v>
      </c>
      <c r="B142" s="34">
        <v>1.984126984126984E-2</v>
      </c>
      <c r="C142" s="11">
        <v>1008</v>
      </c>
      <c r="D142">
        <v>2019</v>
      </c>
    </row>
    <row r="143" spans="1:4" x14ac:dyDescent="0.3">
      <c r="A143" t="s">
        <v>348</v>
      </c>
      <c r="B143" s="34">
        <v>3.7499999999999999E-2</v>
      </c>
      <c r="C143" s="8">
        <v>80</v>
      </c>
      <c r="D143">
        <v>2019</v>
      </c>
    </row>
    <row r="144" spans="1:4" x14ac:dyDescent="0.3">
      <c r="A144" t="s">
        <v>349</v>
      </c>
      <c r="B144" s="34">
        <v>4.2857142857142858E-2</v>
      </c>
      <c r="C144" s="8">
        <v>70</v>
      </c>
      <c r="D144">
        <v>2019</v>
      </c>
    </row>
    <row r="145" spans="1:4" x14ac:dyDescent="0.3">
      <c r="A145" t="s">
        <v>350</v>
      </c>
      <c r="B145" s="34">
        <v>2.9556650246305417E-2</v>
      </c>
      <c r="C145" s="8">
        <v>203</v>
      </c>
      <c r="D145">
        <v>2019</v>
      </c>
    </row>
    <row r="146" spans="1:4" x14ac:dyDescent="0.3">
      <c r="A146" t="s">
        <v>351</v>
      </c>
      <c r="B146" s="34">
        <v>2.8753993610223641E-2</v>
      </c>
      <c r="C146" s="8">
        <v>313</v>
      </c>
      <c r="D146">
        <v>2019</v>
      </c>
    </row>
    <row r="147" spans="1:4" x14ac:dyDescent="0.3">
      <c r="A147" t="s">
        <v>352</v>
      </c>
      <c r="B147" s="34">
        <v>1.3477088948787063E-2</v>
      </c>
      <c r="C147" s="8">
        <v>742</v>
      </c>
      <c r="D147">
        <v>2019</v>
      </c>
    </row>
    <row r="148" spans="1:4" x14ac:dyDescent="0.3">
      <c r="A148" t="s">
        <v>353</v>
      </c>
      <c r="B148" s="34">
        <v>1.1980830670926517E-2</v>
      </c>
      <c r="C148" s="11">
        <v>1252</v>
      </c>
      <c r="D148">
        <v>2019</v>
      </c>
    </row>
    <row r="149" spans="1:4" x14ac:dyDescent="0.3">
      <c r="A149" t="s">
        <v>354</v>
      </c>
      <c r="B149" s="34">
        <v>1.1594202898550725E-2</v>
      </c>
      <c r="C149" s="8">
        <v>690</v>
      </c>
      <c r="D149">
        <v>2019</v>
      </c>
    </row>
    <row r="150" spans="1:4" x14ac:dyDescent="0.3">
      <c r="A150" t="s">
        <v>355</v>
      </c>
      <c r="B150" s="34">
        <v>0.26666666666666666</v>
      </c>
      <c r="C150" s="8">
        <v>15</v>
      </c>
      <c r="D150">
        <v>2019</v>
      </c>
    </row>
    <row r="151" spans="1:4" x14ac:dyDescent="0.3">
      <c r="A151" t="s">
        <v>356</v>
      </c>
      <c r="B151" s="34">
        <v>3.9119804400977995E-2</v>
      </c>
      <c r="C151" s="8">
        <v>409</v>
      </c>
      <c r="D151">
        <v>2019</v>
      </c>
    </row>
    <row r="152" spans="1:4" x14ac:dyDescent="0.3">
      <c r="A152" t="s">
        <v>357</v>
      </c>
      <c r="B152" s="34">
        <v>1.4109347442680775E-2</v>
      </c>
      <c r="C152" s="8">
        <v>567</v>
      </c>
      <c r="D152">
        <v>2019</v>
      </c>
    </row>
    <row r="153" spans="1:4" x14ac:dyDescent="0.3">
      <c r="A153" t="s">
        <v>358</v>
      </c>
      <c r="B153" s="34">
        <v>0.1</v>
      </c>
      <c r="C153" s="8">
        <v>20</v>
      </c>
      <c r="D153">
        <v>2019</v>
      </c>
    </row>
    <row r="154" spans="1:4" x14ac:dyDescent="0.3">
      <c r="A154" t="s">
        <v>359</v>
      </c>
      <c r="B154" s="34">
        <v>2.7027027027027029E-2</v>
      </c>
      <c r="C154" s="8">
        <v>74</v>
      </c>
      <c r="D154">
        <v>2019</v>
      </c>
    </row>
    <row r="155" spans="1:4" x14ac:dyDescent="0.3">
      <c r="A155" t="s">
        <v>360</v>
      </c>
      <c r="B155" s="34">
        <v>2.4390243902439025E-2</v>
      </c>
      <c r="C155" s="8">
        <v>328</v>
      </c>
      <c r="D155">
        <v>2019</v>
      </c>
    </row>
    <row r="156" spans="1:4" x14ac:dyDescent="0.3">
      <c r="A156" t="s">
        <v>361</v>
      </c>
      <c r="B156" s="34">
        <v>2.1621621621621623E-2</v>
      </c>
      <c r="C156" s="11">
        <v>1850</v>
      </c>
      <c r="D156">
        <v>2019</v>
      </c>
    </row>
    <row r="157" spans="1:4" x14ac:dyDescent="0.3">
      <c r="A157" t="s">
        <v>362</v>
      </c>
      <c r="B157" s="34">
        <v>1.9607843137254902E-2</v>
      </c>
      <c r="C157" s="8">
        <v>102</v>
      </c>
      <c r="D157">
        <v>2019</v>
      </c>
    </row>
    <row r="158" spans="1:4" x14ac:dyDescent="0.3">
      <c r="A158" t="s">
        <v>363</v>
      </c>
      <c r="B158" s="34">
        <v>5.2631578947368418E-2</v>
      </c>
      <c r="C158" s="8">
        <v>76</v>
      </c>
      <c r="D158">
        <v>2019</v>
      </c>
    </row>
    <row r="159" spans="1:4" x14ac:dyDescent="0.3">
      <c r="A159" t="s">
        <v>364</v>
      </c>
      <c r="B159" s="34">
        <v>3.4285714285714287E-2</v>
      </c>
      <c r="C159" s="8">
        <v>175</v>
      </c>
      <c r="D159">
        <v>2019</v>
      </c>
    </row>
    <row r="160" spans="1:4" x14ac:dyDescent="0.3">
      <c r="A160" t="s">
        <v>365</v>
      </c>
      <c r="B160" s="34">
        <v>2.6881720430107527E-2</v>
      </c>
      <c r="C160" s="8">
        <v>186</v>
      </c>
      <c r="D160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abSelected="1" workbookViewId="0">
      <selection activeCell="H6" sqref="H6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3984375" customWidth="1"/>
    <col min="8" max="8" width="14.59765625" customWidth="1"/>
  </cols>
  <sheetData>
    <row r="1" spans="1:7" ht="28.5" customHeight="1" x14ac:dyDescent="0.3">
      <c r="A1" s="36" t="s">
        <v>184</v>
      </c>
      <c r="B1" s="37"/>
      <c r="C1" s="2" t="s">
        <v>0</v>
      </c>
      <c r="D1" s="2" t="s">
        <v>185</v>
      </c>
      <c r="E1" s="35" t="s">
        <v>366</v>
      </c>
      <c r="F1" s="35" t="s">
        <v>367</v>
      </c>
      <c r="G1" s="35" t="s">
        <v>368</v>
      </c>
    </row>
    <row r="2" spans="1:7" ht="14.75" customHeight="1" x14ac:dyDescent="0.3">
      <c r="A2" s="21" t="s">
        <v>186</v>
      </c>
      <c r="B2" s="22" t="s">
        <v>187</v>
      </c>
      <c r="C2" s="16">
        <v>32804</v>
      </c>
      <c r="D2" s="23">
        <v>0.2772</v>
      </c>
      <c r="E2">
        <v>2019</v>
      </c>
      <c r="F2" t="s">
        <v>369</v>
      </c>
      <c r="G2" s="16">
        <v>39157</v>
      </c>
    </row>
    <row r="3" spans="1:7" ht="14.25" customHeight="1" x14ac:dyDescent="0.3">
      <c r="A3" s="24"/>
      <c r="B3" s="25" t="s">
        <v>188</v>
      </c>
      <c r="C3" s="11">
        <v>44413</v>
      </c>
      <c r="D3" s="26">
        <v>0.37530000000000002</v>
      </c>
      <c r="E3">
        <v>2019</v>
      </c>
      <c r="F3" t="s">
        <v>370</v>
      </c>
      <c r="G3" s="11">
        <v>39185</v>
      </c>
    </row>
    <row r="4" spans="1:7" ht="14.25" customHeight="1" x14ac:dyDescent="0.3">
      <c r="A4" s="24"/>
      <c r="B4" s="25" t="s">
        <v>189</v>
      </c>
      <c r="C4" s="11">
        <v>28186</v>
      </c>
      <c r="D4" s="26">
        <v>0.2382</v>
      </c>
      <c r="E4">
        <v>2019</v>
      </c>
      <c r="F4" t="s">
        <v>371</v>
      </c>
      <c r="G4" s="11">
        <v>13585</v>
      </c>
    </row>
    <row r="5" spans="1:7" ht="14.25" customHeight="1" x14ac:dyDescent="0.3">
      <c r="A5" s="24"/>
      <c r="B5" s="25" t="s">
        <v>190</v>
      </c>
      <c r="C5" s="11">
        <v>6572</v>
      </c>
      <c r="D5" s="26">
        <v>5.5500000000000001E-2</v>
      </c>
      <c r="E5">
        <v>2019</v>
      </c>
      <c r="F5" t="s">
        <v>372</v>
      </c>
      <c r="G5" s="18">
        <v>26424</v>
      </c>
    </row>
    <row r="6" spans="1:7" ht="14.25" customHeight="1" x14ac:dyDescent="0.3">
      <c r="A6" s="24"/>
      <c r="B6" s="25" t="s">
        <v>191</v>
      </c>
      <c r="C6" s="11">
        <v>4675</v>
      </c>
      <c r="D6" s="26">
        <v>3.95E-2</v>
      </c>
    </row>
    <row r="7" spans="1:7" ht="14.25" customHeight="1" x14ac:dyDescent="0.3">
      <c r="A7" s="27"/>
      <c r="B7" s="28" t="s">
        <v>192</v>
      </c>
      <c r="C7" s="18">
        <v>1701</v>
      </c>
      <c r="D7" s="29">
        <v>1.44E-2</v>
      </c>
    </row>
    <row r="8" spans="1:7" ht="14.5" customHeight="1" x14ac:dyDescent="0.3">
      <c r="A8" s="21" t="s">
        <v>193</v>
      </c>
      <c r="B8" s="22" t="s">
        <v>194</v>
      </c>
      <c r="C8" s="16">
        <v>39157</v>
      </c>
      <c r="D8" s="23">
        <v>0.33090000000000003</v>
      </c>
    </row>
    <row r="9" spans="1:7" ht="14.25" customHeight="1" x14ac:dyDescent="0.3">
      <c r="A9" s="24"/>
      <c r="B9" s="25" t="s">
        <v>150</v>
      </c>
      <c r="C9" s="11">
        <v>39185</v>
      </c>
      <c r="D9" s="26">
        <v>0.33110000000000001</v>
      </c>
    </row>
    <row r="10" spans="1:7" ht="14.25" customHeight="1" x14ac:dyDescent="0.3">
      <c r="A10" s="24"/>
      <c r="B10" s="25" t="s">
        <v>195</v>
      </c>
      <c r="C10" s="11">
        <v>13585</v>
      </c>
      <c r="D10" s="26">
        <v>0.1147</v>
      </c>
    </row>
    <row r="11" spans="1:7" ht="14.25" customHeight="1" x14ac:dyDescent="0.3">
      <c r="A11" s="27"/>
      <c r="B11" s="28" t="s">
        <v>196</v>
      </c>
      <c r="C11" s="18">
        <v>26424</v>
      </c>
      <c r="D11" s="29">
        <v>0.2233</v>
      </c>
    </row>
    <row r="12" spans="1:7" ht="14.5" customHeight="1" x14ac:dyDescent="0.3">
      <c r="A12" s="21" t="s">
        <v>197</v>
      </c>
      <c r="B12" s="22" t="s">
        <v>198</v>
      </c>
      <c r="C12" s="16">
        <v>59736</v>
      </c>
      <c r="D12" s="23">
        <v>0.50470000000000004</v>
      </c>
    </row>
    <row r="13" spans="1:7" ht="14.25" customHeight="1" x14ac:dyDescent="0.3">
      <c r="A13" s="24"/>
      <c r="B13" s="25" t="s">
        <v>199</v>
      </c>
      <c r="C13" s="11">
        <v>57198</v>
      </c>
      <c r="D13" s="26">
        <v>0.48330000000000001</v>
      </c>
    </row>
    <row r="14" spans="1:7" ht="14.25" customHeight="1" x14ac:dyDescent="0.3">
      <c r="A14" s="27"/>
      <c r="B14" s="28" t="s">
        <v>196</v>
      </c>
      <c r="C14" s="18">
        <v>1417</v>
      </c>
      <c r="D14" s="29">
        <v>1.2E-2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7069</v>
      </c>
      <c r="C2" s="5">
        <v>77</v>
      </c>
      <c r="D2" s="6">
        <v>23</v>
      </c>
    </row>
    <row r="3" spans="1:4" ht="14.25" customHeight="1" x14ac:dyDescent="0.3">
      <c r="A3" s="7" t="s">
        <v>167</v>
      </c>
      <c r="B3" s="11">
        <v>5370</v>
      </c>
      <c r="C3" s="9">
        <v>53</v>
      </c>
      <c r="D3" s="10">
        <v>24</v>
      </c>
    </row>
    <row r="4" spans="1:4" ht="14.25" customHeight="1" x14ac:dyDescent="0.3">
      <c r="A4" s="7" t="s">
        <v>168</v>
      </c>
      <c r="B4" s="11">
        <v>8933</v>
      </c>
      <c r="C4" s="9">
        <v>79</v>
      </c>
      <c r="D4" s="10">
        <v>29</v>
      </c>
    </row>
    <row r="5" spans="1:4" ht="14.25" customHeight="1" x14ac:dyDescent="0.3">
      <c r="A5" s="7" t="s">
        <v>169</v>
      </c>
      <c r="B5" s="11">
        <v>8929</v>
      </c>
      <c r="C5" s="9">
        <v>89</v>
      </c>
      <c r="D5" s="10">
        <v>21</v>
      </c>
    </row>
    <row r="6" spans="1:4" ht="14.25" customHeight="1" x14ac:dyDescent="0.3">
      <c r="A6" s="7" t="s">
        <v>170</v>
      </c>
      <c r="B6" s="11">
        <v>8749</v>
      </c>
      <c r="C6" s="9">
        <v>87</v>
      </c>
      <c r="D6" s="10">
        <v>30</v>
      </c>
    </row>
    <row r="7" spans="1:4" ht="14.25" customHeight="1" x14ac:dyDescent="0.3">
      <c r="A7" s="7" t="s">
        <v>171</v>
      </c>
      <c r="B7" s="11">
        <v>3330</v>
      </c>
      <c r="C7" s="9">
        <v>33</v>
      </c>
      <c r="D7" s="10">
        <v>7</v>
      </c>
    </row>
    <row r="8" spans="1:4" ht="14.25" customHeight="1" x14ac:dyDescent="0.3">
      <c r="A8" s="7" t="s">
        <v>172</v>
      </c>
      <c r="B8" s="11">
        <v>12392</v>
      </c>
      <c r="C8" s="9">
        <v>112</v>
      </c>
      <c r="D8" s="10">
        <v>43</v>
      </c>
    </row>
    <row r="9" spans="1:4" ht="14.25" customHeight="1" x14ac:dyDescent="0.3">
      <c r="A9" s="7" t="s">
        <v>173</v>
      </c>
      <c r="B9" s="11">
        <v>9477</v>
      </c>
      <c r="C9" s="9">
        <v>109</v>
      </c>
      <c r="D9" s="10">
        <v>33</v>
      </c>
    </row>
    <row r="10" spans="1:4" ht="14.25" customHeight="1" x14ac:dyDescent="0.3">
      <c r="A10" s="7" t="s">
        <v>174</v>
      </c>
      <c r="B10" s="11">
        <v>8959</v>
      </c>
      <c r="C10" s="9">
        <v>179</v>
      </c>
      <c r="D10" s="10">
        <v>41</v>
      </c>
    </row>
    <row r="11" spans="1:4" ht="14.25" customHeight="1" x14ac:dyDescent="0.3">
      <c r="A11" s="7" t="s">
        <v>175</v>
      </c>
      <c r="B11" s="11">
        <v>2105</v>
      </c>
      <c r="C11" s="9">
        <v>52</v>
      </c>
      <c r="D11" s="10">
        <v>11</v>
      </c>
    </row>
    <row r="12" spans="1:4" ht="14.25" customHeight="1" x14ac:dyDescent="0.3">
      <c r="A12" s="7" t="s">
        <v>176</v>
      </c>
      <c r="B12" s="11">
        <v>6795</v>
      </c>
      <c r="C12" s="9">
        <v>117</v>
      </c>
      <c r="D12" s="10">
        <v>31</v>
      </c>
    </row>
    <row r="13" spans="1:4" ht="14.25" customHeight="1" x14ac:dyDescent="0.3">
      <c r="A13" s="7" t="s">
        <v>177</v>
      </c>
      <c r="B13" s="11">
        <v>3297</v>
      </c>
      <c r="C13" s="9">
        <v>117</v>
      </c>
      <c r="D13" s="10">
        <v>163</v>
      </c>
    </row>
    <row r="14" spans="1:4" ht="14.25" customHeight="1" x14ac:dyDescent="0.3">
      <c r="A14" s="7" t="s">
        <v>178</v>
      </c>
      <c r="B14" s="11">
        <v>4843</v>
      </c>
      <c r="C14" s="9">
        <v>98</v>
      </c>
      <c r="D14" s="10">
        <v>27</v>
      </c>
    </row>
    <row r="15" spans="1:4" ht="14.25" customHeight="1" x14ac:dyDescent="0.3">
      <c r="A15" s="7" t="s">
        <v>179</v>
      </c>
      <c r="B15" s="11">
        <v>3984</v>
      </c>
      <c r="C15" s="9">
        <v>155</v>
      </c>
      <c r="D15" s="10">
        <v>18</v>
      </c>
    </row>
    <row r="16" spans="1:4" ht="14.25" customHeight="1" x14ac:dyDescent="0.3">
      <c r="A16" s="7" t="s">
        <v>180</v>
      </c>
      <c r="B16" s="11">
        <v>4785</v>
      </c>
      <c r="C16" s="9">
        <v>112</v>
      </c>
      <c r="D16" s="10">
        <v>24</v>
      </c>
    </row>
    <row r="17" spans="1:4" ht="14.25" customHeight="1" x14ac:dyDescent="0.3">
      <c r="A17" s="7" t="s">
        <v>181</v>
      </c>
      <c r="B17" s="11">
        <v>6830</v>
      </c>
      <c r="C17" s="9">
        <v>105</v>
      </c>
      <c r="D17" s="10">
        <v>21</v>
      </c>
    </row>
    <row r="18" spans="1:4" ht="14.25" customHeight="1" x14ac:dyDescent="0.3">
      <c r="A18" s="7" t="s">
        <v>182</v>
      </c>
      <c r="B18" s="11">
        <v>5810</v>
      </c>
      <c r="C18" s="9">
        <v>106</v>
      </c>
      <c r="D18" s="10">
        <v>25</v>
      </c>
    </row>
    <row r="19" spans="1:4" ht="14.25" customHeight="1" x14ac:dyDescent="0.3">
      <c r="A19" s="7" t="s">
        <v>183</v>
      </c>
      <c r="B19" s="11">
        <v>6694</v>
      </c>
      <c r="C19" s="9">
        <v>66</v>
      </c>
      <c r="D19" s="10">
        <v>14</v>
      </c>
    </row>
    <row r="20" spans="1:4" ht="14.25" customHeight="1" x14ac:dyDescent="0.3">
      <c r="A20" s="17" t="s">
        <v>162</v>
      </c>
      <c r="B20" s="18">
        <v>118351</v>
      </c>
      <c r="C20" s="19">
        <v>1746</v>
      </c>
      <c r="D20" s="15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EnvHealthLeadGAData2019</dc:title>
  <dc:creator>lefreymann</dc:creator>
  <cp:lastModifiedBy>Idowu, Toni</cp:lastModifiedBy>
  <dcterms:created xsi:type="dcterms:W3CDTF">2025-10-17T18:17:01Z</dcterms:created>
  <dcterms:modified xsi:type="dcterms:W3CDTF">2025-11-07T05:12:01Z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2020-05-12T00:00:00Z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